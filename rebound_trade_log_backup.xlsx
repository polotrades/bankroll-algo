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 Log" sheetId="1" state="visible" r:id="rId3"/>
    <sheet name="St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<sst xmlns="http://schemas.openxmlformats.org/spreadsheetml/2006/main" count="566" uniqueCount="202">
  <si>
    <t xml:space="preserve">THE REBOUND  —  NY + ASIA DAILY TRADE LOG  (Jan–Jul 2026)</t>
  </si>
  <si>
    <t xml:space="preserve">DATE / DAY</t>
  </si>
  <si>
    <t xml:space="preserve">NY SESSION  (6:30 AM PT — weekdays only)</t>
  </si>
  <si>
    <t xml:space="preserve">ASIA SESSION  (3:00 PM PT — incl. Sundays)</t>
  </si>
  <si>
    <t xml:space="preserve">DAILY P&amp;L</t>
  </si>
  <si>
    <t xml:space="preserve">DATE</t>
  </si>
  <si>
    <t xml:space="preserve">DAY</t>
  </si>
  <si>
    <t xml:space="preserve">W</t>
  </si>
  <si>
    <t xml:space="preserve">L</t>
  </si>
  <si>
    <t xml:space="preserve">L✓</t>
  </si>
  <si>
    <t xml:space="preserve">L✗</t>
  </si>
  <si>
    <t xml:space="preserve">S✓</t>
  </si>
  <si>
    <t xml:space="preserve">S✗</t>
  </si>
  <si>
    <t xml:space="preserve">SKIP</t>
  </si>
  <si>
    <t xml:space="preserve">E/L</t>
  </si>
  <si>
    <t xml:space="preserve">W=Wins  L=Losses  L✓=Longs Won  L✗=Longs Lost  S✓=Shorts Won  S✗=Shorts Lost  SKIP=# skips  E/L = E(early &lt;30min) or L(late &gt;30min)   ★ SUNDAY = Asia only</t>
  </si>
  <si>
    <t xml:space="preserve">Jan 6</t>
  </si>
  <si>
    <t xml:space="preserve">Tue</t>
  </si>
  <si>
    <t xml:space="preserve">Jan 7</t>
  </si>
  <si>
    <t xml:space="preserve">Wed</t>
  </si>
  <si>
    <t xml:space="preserve">Jan 8</t>
  </si>
  <si>
    <t xml:space="preserve">Thu</t>
  </si>
  <si>
    <t xml:space="preserve">Jan 9</t>
  </si>
  <si>
    <t xml:space="preserve">Fri</t>
  </si>
  <si>
    <t xml:space="preserve">Jan 11</t>
  </si>
  <si>
    <t xml:space="preserve">SUN ★</t>
  </si>
  <si>
    <t xml:space="preserve">—</t>
  </si>
  <si>
    <t xml:space="preserve">Jan 12</t>
  </si>
  <si>
    <t xml:space="preserve">Mon</t>
  </si>
  <si>
    <t xml:space="preserve">Jan 13</t>
  </si>
  <si>
    <t xml:space="preserve">Jan 14</t>
  </si>
  <si>
    <t xml:space="preserve">Jan 15</t>
  </si>
  <si>
    <t xml:space="preserve">Jan 16</t>
  </si>
  <si>
    <t xml:space="preserve">Jan 18</t>
  </si>
  <si>
    <t xml:space="preserve">Jan 20</t>
  </si>
  <si>
    <t xml:space="preserve">Jan 21</t>
  </si>
  <si>
    <t xml:space="preserve">Jan 22</t>
  </si>
  <si>
    <t xml:space="preserve">Jan 23</t>
  </si>
  <si>
    <t xml:space="preserve">Jan 25</t>
  </si>
  <si>
    <t xml:space="preserve">Jan 26</t>
  </si>
  <si>
    <t xml:space="preserve">Jan 27</t>
  </si>
  <si>
    <t xml:space="preserve">Jan 28</t>
  </si>
  <si>
    <t xml:space="preserve">Jan 29</t>
  </si>
  <si>
    <t xml:space="preserve">Jan 30</t>
  </si>
  <si>
    <t xml:space="preserve">Feb 1</t>
  </si>
  <si>
    <t xml:space="preserve">Feb 2</t>
  </si>
  <si>
    <t xml:space="preserve">Feb 3</t>
  </si>
  <si>
    <t xml:space="preserve">Feb 4</t>
  </si>
  <si>
    <t xml:space="preserve">Feb 5</t>
  </si>
  <si>
    <t xml:space="preserve">Feb 6</t>
  </si>
  <si>
    <t xml:space="preserve">Feb 8</t>
  </si>
  <si>
    <t xml:space="preserve">Feb 9</t>
  </si>
  <si>
    <t xml:space="preserve">Feb 10</t>
  </si>
  <si>
    <t xml:space="preserve">Feb 11</t>
  </si>
  <si>
    <t xml:space="preserve">Feb 12</t>
  </si>
  <si>
    <t xml:space="preserve">Feb 13</t>
  </si>
  <si>
    <t xml:space="preserve">Feb 15</t>
  </si>
  <si>
    <t xml:space="preserve">Feb 17</t>
  </si>
  <si>
    <t xml:space="preserve">Feb 18</t>
  </si>
  <si>
    <t xml:space="preserve">Feb 19</t>
  </si>
  <si>
    <t xml:space="preserve">Feb 20</t>
  </si>
  <si>
    <t xml:space="preserve">Feb 22</t>
  </si>
  <si>
    <t xml:space="preserve">Feb 23</t>
  </si>
  <si>
    <t xml:space="preserve">Feb 24</t>
  </si>
  <si>
    <t xml:space="preserve">Feb 25</t>
  </si>
  <si>
    <t xml:space="preserve">Feb 26</t>
  </si>
  <si>
    <t xml:space="preserve">Feb 27</t>
  </si>
  <si>
    <t xml:space="preserve">Mar 1</t>
  </si>
  <si>
    <t xml:space="preserve">Mar 2</t>
  </si>
  <si>
    <t xml:space="preserve">Mar 3</t>
  </si>
  <si>
    <t xml:space="preserve">Mar 4</t>
  </si>
  <si>
    <t xml:space="preserve">Mar 5</t>
  </si>
  <si>
    <t xml:space="preserve">Mar 6</t>
  </si>
  <si>
    <t xml:space="preserve">Mar 8</t>
  </si>
  <si>
    <t xml:space="preserve">Mar 9</t>
  </si>
  <si>
    <t xml:space="preserve">Mar 10</t>
  </si>
  <si>
    <t xml:space="preserve">Mar 11</t>
  </si>
  <si>
    <t xml:space="preserve">Mar 12</t>
  </si>
  <si>
    <t xml:space="preserve">Mar 13</t>
  </si>
  <si>
    <t xml:space="preserve">Mar 15</t>
  </si>
  <si>
    <t xml:space="preserve">Mar 16</t>
  </si>
  <si>
    <t xml:space="preserve">Mar 17</t>
  </si>
  <si>
    <t xml:space="preserve">Mar 18</t>
  </si>
  <si>
    <t xml:space="preserve">Mar 19</t>
  </si>
  <si>
    <t xml:space="preserve">Mar 20</t>
  </si>
  <si>
    <t xml:space="preserve">Mar 22</t>
  </si>
  <si>
    <t xml:space="preserve">Mar 23</t>
  </si>
  <si>
    <t xml:space="preserve">Mar 24</t>
  </si>
  <si>
    <t xml:space="preserve">Mar 25</t>
  </si>
  <si>
    <t xml:space="preserve">Mar 26</t>
  </si>
  <si>
    <t xml:space="preserve">Mar 27</t>
  </si>
  <si>
    <t xml:space="preserve">Mar 29</t>
  </si>
  <si>
    <t xml:space="preserve">Mar 30</t>
  </si>
  <si>
    <t xml:space="preserve">Mar 31</t>
  </si>
  <si>
    <t xml:space="preserve">Apr 1</t>
  </si>
  <si>
    <t xml:space="preserve">Apr 2</t>
  </si>
  <si>
    <t xml:space="preserve">Apr 5</t>
  </si>
  <si>
    <t xml:space="preserve">Apr 6</t>
  </si>
  <si>
    <t xml:space="preserve">Apr 7</t>
  </si>
  <si>
    <t xml:space="preserve">Apr 8</t>
  </si>
  <si>
    <t xml:space="preserve">Apr 9</t>
  </si>
  <si>
    <t xml:space="preserve">Apr 10</t>
  </si>
  <si>
    <t xml:space="preserve">Apr 12</t>
  </si>
  <si>
    <t xml:space="preserve">Apr 13</t>
  </si>
  <si>
    <t xml:space="preserve">Apr 14</t>
  </si>
  <si>
    <t xml:space="preserve">Apr 15</t>
  </si>
  <si>
    <t xml:space="preserve">Apr 16</t>
  </si>
  <si>
    <t xml:space="preserve">Apr 17</t>
  </si>
  <si>
    <t xml:space="preserve">Apr 19</t>
  </si>
  <si>
    <t xml:space="preserve">Apr 20</t>
  </si>
  <si>
    <t xml:space="preserve">Apr 21</t>
  </si>
  <si>
    <t xml:space="preserve">Apr 22</t>
  </si>
  <si>
    <t xml:space="preserve">Apr 23</t>
  </si>
  <si>
    <t xml:space="preserve">Apr 24</t>
  </si>
  <si>
    <t xml:space="preserve">Apr 26</t>
  </si>
  <si>
    <t xml:space="preserve">Apr 27</t>
  </si>
  <si>
    <t xml:space="preserve">Apr 28</t>
  </si>
  <si>
    <t xml:space="preserve">Apr 29</t>
  </si>
  <si>
    <t xml:space="preserve">Apr 30</t>
  </si>
  <si>
    <t xml:space="preserve">May 1</t>
  </si>
  <si>
    <t xml:space="preserve">May 3</t>
  </si>
  <si>
    <t xml:space="preserve">May 4</t>
  </si>
  <si>
    <t xml:space="preserve">May 5</t>
  </si>
  <si>
    <t xml:space="preserve">May 6</t>
  </si>
  <si>
    <t xml:space="preserve">May 7</t>
  </si>
  <si>
    <t xml:space="preserve">May 8</t>
  </si>
  <si>
    <t xml:space="preserve">May 10</t>
  </si>
  <si>
    <t xml:space="preserve">May 11</t>
  </si>
  <si>
    <t xml:space="preserve">May 12</t>
  </si>
  <si>
    <t xml:space="preserve">May 13</t>
  </si>
  <si>
    <t xml:space="preserve">May 14</t>
  </si>
  <si>
    <t xml:space="preserve">May 15</t>
  </si>
  <si>
    <t xml:space="preserve">May 17</t>
  </si>
  <si>
    <t xml:space="preserve">May 18</t>
  </si>
  <si>
    <t xml:space="preserve">May 19</t>
  </si>
  <si>
    <t xml:space="preserve">May 20</t>
  </si>
  <si>
    <t xml:space="preserve">May 21</t>
  </si>
  <si>
    <t xml:space="preserve">May 22</t>
  </si>
  <si>
    <t xml:space="preserve">May 24</t>
  </si>
  <si>
    <t xml:space="preserve">May 26</t>
  </si>
  <si>
    <t xml:space="preserve">May 27</t>
  </si>
  <si>
    <t xml:space="preserve">May 28</t>
  </si>
  <si>
    <t xml:space="preserve">May 29</t>
  </si>
  <si>
    <t xml:space="preserve">May 31</t>
  </si>
  <si>
    <t xml:space="preserve">Jun 1</t>
  </si>
  <si>
    <t xml:space="preserve">Jun 2</t>
  </si>
  <si>
    <t xml:space="preserve">Jun 3</t>
  </si>
  <si>
    <t xml:space="preserve">Jun 4</t>
  </si>
  <si>
    <t xml:space="preserve">Jun 5</t>
  </si>
  <si>
    <t xml:space="preserve">Jun 7</t>
  </si>
  <si>
    <t xml:space="preserve">Jun 8</t>
  </si>
  <si>
    <t xml:space="preserve">Jun 9</t>
  </si>
  <si>
    <t xml:space="preserve">Jun 10</t>
  </si>
  <si>
    <t xml:space="preserve">Jun 11</t>
  </si>
  <si>
    <t xml:space="preserve">Jun 12</t>
  </si>
  <si>
    <t xml:space="preserve">Jun 14</t>
  </si>
  <si>
    <t xml:space="preserve">Jun 15</t>
  </si>
  <si>
    <t xml:space="preserve">Jun 16</t>
  </si>
  <si>
    <t xml:space="preserve">Jun 17</t>
  </si>
  <si>
    <t xml:space="preserve">Jun 18</t>
  </si>
  <si>
    <t xml:space="preserve">Jun 19</t>
  </si>
  <si>
    <t xml:space="preserve">Jun 21</t>
  </si>
  <si>
    <t xml:space="preserve">Jun 22</t>
  </si>
  <si>
    <t xml:space="preserve">Jun 23</t>
  </si>
  <si>
    <t xml:space="preserve">Jun 24</t>
  </si>
  <si>
    <t xml:space="preserve">Jun 25</t>
  </si>
  <si>
    <t xml:space="preserve">Jun 26</t>
  </si>
  <si>
    <t xml:space="preserve">Jun 28</t>
  </si>
  <si>
    <t xml:space="preserve">Jun 29</t>
  </si>
  <si>
    <t xml:space="preserve">Jun 30</t>
  </si>
  <si>
    <t xml:space="preserve">Jul 1</t>
  </si>
  <si>
    <t xml:space="preserve">Jul 2</t>
  </si>
  <si>
    <t xml:space="preserve">Jul 5</t>
  </si>
  <si>
    <t xml:space="preserve">Jul 6</t>
  </si>
  <si>
    <t xml:space="preserve">Jul 7</t>
  </si>
  <si>
    <t xml:space="preserve">Jul 8</t>
  </si>
  <si>
    <t xml:space="preserve">Jul 9</t>
  </si>
  <si>
    <t xml:space="preserve">Jul 10</t>
  </si>
  <si>
    <t xml:space="preserve">TOTALS</t>
  </si>
  <si>
    <t xml:space="preserve">BACKTEST STATS  —  NY + ASIA COMBINED</t>
  </si>
  <si>
    <t xml:space="preserve">METRIC</t>
  </si>
  <si>
    <t xml:space="preserve">NY</t>
  </si>
  <si>
    <t xml:space="preserve">ASIA</t>
  </si>
  <si>
    <t xml:space="preserve">COMBINED</t>
  </si>
  <si>
    <t xml:space="preserve">OVERALL</t>
  </si>
  <si>
    <t xml:space="preserve">Total Trades</t>
  </si>
  <si>
    <t xml:space="preserve">Wins</t>
  </si>
  <si>
    <t xml:space="preserve">Losses</t>
  </si>
  <si>
    <t xml:space="preserve">Win Rate</t>
  </si>
  <si>
    <t xml:space="preserve">Net P&amp;L</t>
  </si>
  <si>
    <t xml:space="preserve">Profit Factor</t>
  </si>
  <si>
    <t xml:space="preserve">Expectancy/Trade</t>
  </si>
  <si>
    <t xml:space="preserve">LONGS</t>
  </si>
  <si>
    <t xml:space="preserve">Longs Won</t>
  </si>
  <si>
    <t xml:space="preserve">Longs Lost</t>
  </si>
  <si>
    <t xml:space="preserve">Long Win Rate</t>
  </si>
  <si>
    <t xml:space="preserve">SHORTS</t>
  </si>
  <si>
    <t xml:space="preserve">Shorts Won</t>
  </si>
  <si>
    <t xml:space="preserve">Shorts Lost</t>
  </si>
  <si>
    <t xml:space="preserve">Short Win Rate</t>
  </si>
  <si>
    <t xml:space="preserve">SKIPS</t>
  </si>
  <si>
    <t xml:space="preserve">Total Skips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</si>
</sst>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[RED]&quot;-$&quot;#,##0"/>
    <numFmt numFmtId="166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9"/>
      <color rgb="FF534AB7"/>
      <name val="Arial"/>
      <family val="0"/>
      <charset val="1"/>
    </font>
    <font>
      <b val="true"/>
      <sz val="9"/>
      <color rgb="FF1D9E75"/>
      <name val="Arial"/>
      <family val="0"/>
      <charset val="1"/>
    </font>
    <font>
      <b val="true"/>
      <sz val="9"/>
      <color rgb="FFE6A02D"/>
      <name val="Arial"/>
      <family val="0"/>
      <charset val="1"/>
    </font>
    <font>
      <b val="true"/>
      <sz val="7"/>
      <color rgb="FF666666"/>
      <name val="Arial"/>
      <family val="0"/>
      <charset val="1"/>
    </font>
    <font>
      <sz val="7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E6A02D"/>
      <name val="Arial"/>
      <family val="0"/>
      <charset val="1"/>
    </font>
    <font>
      <sz val="10"/>
      <color rgb="FF2A2A2A"/>
      <name val="Arial"/>
      <family val="0"/>
      <charset val="1"/>
    </font>
    <font>
      <b val="true"/>
      <sz val="10"/>
      <color rgb="FFE6A02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E6A02D"/>
      <name val="Arial"/>
      <family val="0"/>
      <charset val="1"/>
    </font>
    <font>
      <b val="true"/>
      <sz val="9"/>
      <color rgb="FF666666"/>
      <name val="Arial"/>
      <family val="0"/>
      <charset val="1"/>
    </font>
    <font>
      <sz val="10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534AB7"/>
        <bgColor rgb="FF666666"/>
      </patternFill>
    </fill>
    <fill>
      <patternFill patternType="solid">
        <fgColor rgb="FF0E0E0E"/>
        <bgColor rgb="FF0F0F0F"/>
      </patternFill>
    </fill>
    <fill>
      <patternFill patternType="solid">
        <fgColor rgb="FF141414"/>
        <bgColor rgb="FF181220"/>
      </patternFill>
    </fill>
    <fill>
      <patternFill patternType="solid">
        <fgColor rgb="FF181220"/>
        <bgColor rgb="FF141414"/>
      </patternFill>
    </fill>
    <fill>
      <patternFill patternType="solid">
        <fgColor rgb="FF0F0F0F"/>
        <bgColor rgb="FF0E0E0E"/>
      </patternFill>
    </fill>
    <fill>
      <patternFill patternType="solid">
        <fgColor rgb="FF1C1C1C"/>
        <bgColor rgb="FF14141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52525"/>
      </left>
      <right/>
      <top style="thin">
        <color rgb="FF252525"/>
      </top>
      <bottom style="thin">
        <color rgb="FF252525"/>
      </bottom>
      <diagonal/>
    </border>
    <border diagonalUp="false" diagonalDown="false">
      <left style="thin">
        <color rgb="FF252525"/>
      </left>
      <right style="thin">
        <color rgb="FF252525"/>
      </right>
      <top style="thin">
        <color rgb="FF252525"/>
      </top>
      <bottom style="thin">
        <color rgb="FF2525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E0E0E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141414"/>
      <rgbColor rgb="FFFF8080"/>
      <rgbColor rgb="FF0066CC"/>
      <rgbColor rgb="FFCCCCFF"/>
      <rgbColor rgb="FF0F0F0F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02D"/>
      <rgbColor rgb="FFFF6600"/>
      <rgbColor rgb="FF666666"/>
      <rgbColor rgb="FF969696"/>
      <rgbColor rgb="FF181220"/>
      <rgbColor rgb="FF1D9E75"/>
      <rgbColor rgb="FF1C1C1C"/>
      <rgbColor rgb="FF252525"/>
      <rgbColor rgb="FF993300"/>
      <rgbColor rgb="FF993366"/>
      <rgbColor rgb="FF534AB7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4AB7"/>
    <pageSetUpPr fitToPage="false"/>
  </sheetPr>
  <dimension ref="A1:S1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9" min="3" style="0" width="5"/>
    <col collapsed="false" customWidth="true" hidden="false" outlineLevel="0" max="10" min="10" style="0" width="8"/>
    <col collapsed="false" customWidth="true" hidden="false" outlineLevel="0" max="17" min="11" style="0" width="5"/>
    <col collapsed="false" customWidth="true" hidden="false" outlineLevel="0" max="18" min="18" style="0" width="8"/>
    <col collapsed="false" customWidth="true" hidden="false" outlineLevel="0" max="19" min="19" style="0" width="1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1</v>
      </c>
      <c r="B2" s="2"/>
      <c r="C2" s="3" t="s">
        <v>2</v>
      </c>
      <c r="D2" s="3"/>
      <c r="E2" s="3"/>
      <c r="F2" s="3"/>
      <c r="G2" s="3"/>
      <c r="H2" s="3"/>
      <c r="I2" s="3"/>
      <c r="J2" s="3"/>
      <c r="K2" s="4" t="s">
        <v>3</v>
      </c>
      <c r="L2" s="4"/>
      <c r="M2" s="4"/>
      <c r="N2" s="4"/>
      <c r="O2" s="4"/>
      <c r="P2" s="4"/>
      <c r="Q2" s="4"/>
      <c r="R2" s="4"/>
      <c r="S2" s="5" t="s">
        <v>4</v>
      </c>
    </row>
    <row r="3" customFormat="false" ht="21.75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13</v>
      </c>
      <c r="R3" s="6" t="s">
        <v>14</v>
      </c>
      <c r="S3" s="5"/>
    </row>
    <row r="4" customFormat="false" ht="15.75" hidden="false" customHeight="true" outlineLevel="0" collapsed="false">
      <c r="A4" s="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customFormat="false" ht="19.5" hidden="false" customHeight="true" outlineLevel="0" collapsed="false">
      <c r="A5" s="8" t="s">
        <v>16</v>
      </c>
      <c r="B5" s="9" t="s">
        <v>17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1" t="n">
        <f aca="false">IFERROR(C5*460+D5*-560,0)+IFERROR(K5*460+L5*-560,0)</f>
        <v>0</v>
      </c>
    </row>
    <row r="6" customFormat="false" ht="19.5" hidden="false" customHeight="true" outlineLevel="0" collapsed="false">
      <c r="A6" s="8" t="s">
        <v>18</v>
      </c>
      <c r="B6" s="9" t="s">
        <v>19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1" t="n">
        <f aca="false">IFERROR(C6*460+D6*-560,0)+IFERROR(K6*460+L6*-560,0)</f>
        <v>0</v>
      </c>
    </row>
    <row r="7" customFormat="false" ht="19.5" hidden="false" customHeight="true" outlineLevel="0" collapsed="false">
      <c r="A7" s="8" t="s">
        <v>20</v>
      </c>
      <c r="B7" s="9" t="s">
        <v>21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1" t="n">
        <f aca="false">IFERROR(C7*460+D7*-560,0)+IFERROR(K7*460+L7*-560,0)</f>
        <v>0</v>
      </c>
    </row>
    <row r="8" customFormat="false" ht="19.5" hidden="false" customHeight="true" outlineLevel="0" collapsed="false">
      <c r="A8" s="8" t="s">
        <v>22</v>
      </c>
      <c r="B8" s="9" t="s">
        <v>23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 t="n">
        <f aca="false">IFERROR(C8*460+D8*-560,0)+IFERROR(K8*460+L8*-560,0)</f>
        <v>0</v>
      </c>
    </row>
    <row r="9" customFormat="false" ht="19.5" hidden="false" customHeight="true" outlineLevel="0" collapsed="false">
      <c r="A9" s="12" t="s">
        <v>24</v>
      </c>
      <c r="B9" s="13" t="s">
        <v>25</v>
      </c>
      <c r="C9" s="14" t="s">
        <v>26</v>
      </c>
      <c r="D9" s="14" t="s">
        <v>26</v>
      </c>
      <c r="E9" s="14" t="s">
        <v>26</v>
      </c>
      <c r="F9" s="14" t="s">
        <v>26</v>
      </c>
      <c r="G9" s="14" t="s">
        <v>26</v>
      </c>
      <c r="H9" s="14" t="s">
        <v>26</v>
      </c>
      <c r="I9" s="14" t="s">
        <v>26</v>
      </c>
      <c r="J9" s="14" t="s">
        <v>26</v>
      </c>
      <c r="K9" s="15"/>
      <c r="L9" s="15"/>
      <c r="M9" s="15"/>
      <c r="N9" s="15"/>
      <c r="O9" s="15"/>
      <c r="P9" s="15"/>
      <c r="Q9" s="15"/>
      <c r="R9" s="15"/>
      <c r="S9" s="16" t="n">
        <f aca="false">IFERROR(K9*460+L9*-560,0)</f>
        <v>0</v>
      </c>
    </row>
    <row r="10" customFormat="false" ht="19.5" hidden="false" customHeight="true" outlineLevel="0" collapsed="false">
      <c r="A10" s="8" t="s">
        <v>27</v>
      </c>
      <c r="B10" s="9" t="s">
        <v>28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 t="n">
        <f aca="false">IFERROR(C10*460+D10*-560,0)+IFERROR(K10*460+L10*-560,0)</f>
        <v>0</v>
      </c>
    </row>
    <row r="11" customFormat="false" ht="19.5" hidden="false" customHeight="true" outlineLevel="0" collapsed="false">
      <c r="A11" s="8" t="s">
        <v>29</v>
      </c>
      <c r="B11" s="9" t="s">
        <v>17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1" t="n">
        <f aca="false">IFERROR(C11*460+D11*-560,0)+IFERROR(K11*460+L11*-560,0)</f>
        <v>0</v>
      </c>
    </row>
    <row r="12" customFormat="false" ht="19.5" hidden="false" customHeight="true" outlineLevel="0" collapsed="false">
      <c r="A12" s="8" t="s">
        <v>30</v>
      </c>
      <c r="B12" s="9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1" t="n">
        <f aca="false">IFERROR(C12*460+D12*-560,0)+IFERROR(K12*460+L12*-560,0)</f>
        <v>0</v>
      </c>
    </row>
    <row r="13" customFormat="false" ht="19.5" hidden="false" customHeight="true" outlineLevel="0" collapsed="false">
      <c r="A13" s="8" t="s">
        <v>31</v>
      </c>
      <c r="B13" s="9" t="s">
        <v>21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1" t="n">
        <f aca="false">IFERROR(C13*460+D13*-560,0)+IFERROR(K13*460+L13*-560,0)</f>
        <v>0</v>
      </c>
    </row>
    <row r="14" customFormat="false" ht="19.5" hidden="false" customHeight="true" outlineLevel="0" collapsed="false">
      <c r="A14" s="8" t="s">
        <v>32</v>
      </c>
      <c r="B14" s="9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1" t="n">
        <f aca="false">IFERROR(C14*460+D14*-560,0)+IFERROR(K14*460+L14*-560,0)</f>
        <v>0</v>
      </c>
    </row>
    <row r="15" customFormat="false" ht="19.5" hidden="false" customHeight="true" outlineLevel="0" collapsed="false">
      <c r="A15" s="12" t="s">
        <v>33</v>
      </c>
      <c r="B15" s="13" t="s">
        <v>25</v>
      </c>
      <c r="C15" s="14" t="s">
        <v>26</v>
      </c>
      <c r="D15" s="14" t="s">
        <v>26</v>
      </c>
      <c r="E15" s="14" t="s">
        <v>26</v>
      </c>
      <c r="F15" s="14" t="s">
        <v>26</v>
      </c>
      <c r="G15" s="14" t="s">
        <v>26</v>
      </c>
      <c r="H15" s="14" t="s">
        <v>26</v>
      </c>
      <c r="I15" s="14" t="s">
        <v>26</v>
      </c>
      <c r="J15" s="14" t="s">
        <v>26</v>
      </c>
      <c r="K15" s="15"/>
      <c r="L15" s="15"/>
      <c r="M15" s="15"/>
      <c r="N15" s="15"/>
      <c r="O15" s="15"/>
      <c r="P15" s="15"/>
      <c r="Q15" s="15"/>
      <c r="R15" s="15"/>
      <c r="S15" s="16" t="n">
        <f aca="false">IFERROR(K15*460+L15*-560,0)</f>
        <v>0</v>
      </c>
    </row>
    <row r="16" customFormat="false" ht="19.5" hidden="false" customHeight="true" outlineLevel="0" collapsed="false">
      <c r="A16" s="8" t="s">
        <v>34</v>
      </c>
      <c r="B16" s="9" t="s">
        <v>17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" t="n">
        <f aca="false">IFERROR(C16*460+D16*-560,0)+IFERROR(K16*460+L16*-560,0)</f>
        <v>0</v>
      </c>
    </row>
    <row r="17" customFormat="false" ht="19.5" hidden="false" customHeight="true" outlineLevel="0" collapsed="false">
      <c r="A17" s="8" t="s">
        <v>35</v>
      </c>
      <c r="B17" s="9" t="s">
        <v>19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1" t="n">
        <f aca="false">IFERROR(C17*460+D17*-560,0)+IFERROR(K17*460+L17*-560,0)</f>
        <v>0</v>
      </c>
    </row>
    <row r="18" customFormat="false" ht="19.5" hidden="false" customHeight="true" outlineLevel="0" collapsed="false">
      <c r="A18" s="8" t="s">
        <v>36</v>
      </c>
      <c r="B18" s="9" t="s">
        <v>21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1" t="n">
        <f aca="false">IFERROR(C18*460+D18*-560,0)+IFERROR(K18*460+L18*-560,0)</f>
        <v>0</v>
      </c>
    </row>
    <row r="19" customFormat="false" ht="19.5" hidden="false" customHeight="true" outlineLevel="0" collapsed="false">
      <c r="A19" s="8" t="s">
        <v>37</v>
      </c>
      <c r="B19" s="9" t="s">
        <v>23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1" t="n">
        <f aca="false">IFERROR(C19*460+D19*-560,0)+IFERROR(K19*460+L19*-560,0)</f>
        <v>0</v>
      </c>
    </row>
    <row r="20" customFormat="false" ht="19.5" hidden="false" customHeight="true" outlineLevel="0" collapsed="false">
      <c r="A20" s="12" t="s">
        <v>38</v>
      </c>
      <c r="B20" s="13" t="s">
        <v>25</v>
      </c>
      <c r="C20" s="14" t="s">
        <v>26</v>
      </c>
      <c r="D20" s="14" t="s">
        <v>26</v>
      </c>
      <c r="E20" s="14" t="s">
        <v>26</v>
      </c>
      <c r="F20" s="14" t="s">
        <v>26</v>
      </c>
      <c r="G20" s="14" t="s">
        <v>26</v>
      </c>
      <c r="H20" s="14" t="s">
        <v>26</v>
      </c>
      <c r="I20" s="14" t="s">
        <v>26</v>
      </c>
      <c r="J20" s="14" t="s">
        <v>26</v>
      </c>
      <c r="K20" s="15"/>
      <c r="L20" s="15"/>
      <c r="M20" s="15"/>
      <c r="N20" s="15"/>
      <c r="O20" s="15"/>
      <c r="P20" s="15"/>
      <c r="Q20" s="15"/>
      <c r="R20" s="15"/>
      <c r="S20" s="16" t="n">
        <f aca="false">IFERROR(K20*460+L20*-560,0)</f>
        <v>0</v>
      </c>
    </row>
    <row r="21" customFormat="false" ht="19.5" hidden="false" customHeight="true" outlineLevel="0" collapsed="false">
      <c r="A21" s="8" t="s">
        <v>39</v>
      </c>
      <c r="B21" s="9" t="s">
        <v>28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1" t="n">
        <f aca="false">IFERROR(C21*460+D21*-560,0)+IFERROR(K21*460+L21*-560,0)</f>
        <v>0</v>
      </c>
    </row>
    <row r="22" customFormat="false" ht="19.5" hidden="false" customHeight="true" outlineLevel="0" collapsed="false">
      <c r="A22" s="8" t="s">
        <v>40</v>
      </c>
      <c r="B22" s="9" t="s">
        <v>17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1" t="n">
        <f aca="false">IFERROR(C22*460+D22*-560,0)+IFERROR(K22*460+L22*-560,0)</f>
        <v>0</v>
      </c>
    </row>
    <row r="23" customFormat="false" ht="19.5" hidden="false" customHeight="true" outlineLevel="0" collapsed="false">
      <c r="A23" s="8" t="s">
        <v>41</v>
      </c>
      <c r="B23" s="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1" t="n">
        <f aca="false">IFERROR(C23*460+D23*-560,0)+IFERROR(K23*460+L23*-560,0)</f>
        <v>0</v>
      </c>
    </row>
    <row r="24" customFormat="false" ht="19.5" hidden="false" customHeight="true" outlineLevel="0" collapsed="false">
      <c r="A24" s="8" t="s">
        <v>42</v>
      </c>
      <c r="B24" s="9" t="s">
        <v>21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1" t="n">
        <f aca="false">IFERROR(C24*460+D24*-560,0)+IFERROR(K24*460+L24*-560,0)</f>
        <v>0</v>
      </c>
    </row>
    <row r="25" customFormat="false" ht="19.5" hidden="false" customHeight="true" outlineLevel="0" collapsed="false">
      <c r="A25" s="8" t="s">
        <v>43</v>
      </c>
      <c r="B25" s="9" t="s">
        <v>23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1" t="n">
        <f aca="false">IFERROR(C25*460+D25*-560,0)+IFERROR(K25*460+L25*-560,0)</f>
        <v>0</v>
      </c>
    </row>
    <row r="26" customFormat="false" ht="19.5" hidden="false" customHeight="true" outlineLevel="0" collapsed="false">
      <c r="A26" s="12" t="s">
        <v>44</v>
      </c>
      <c r="B26" s="13" t="s">
        <v>25</v>
      </c>
      <c r="C26" s="14" t="s">
        <v>26</v>
      </c>
      <c r="D26" s="14" t="s">
        <v>26</v>
      </c>
      <c r="E26" s="14" t="s">
        <v>26</v>
      </c>
      <c r="F26" s="14" t="s">
        <v>26</v>
      </c>
      <c r="G26" s="14" t="s">
        <v>26</v>
      </c>
      <c r="H26" s="14" t="s">
        <v>26</v>
      </c>
      <c r="I26" s="14" t="s">
        <v>26</v>
      </c>
      <c r="J26" s="14" t="s">
        <v>26</v>
      </c>
      <c r="K26" s="15"/>
      <c r="L26" s="15"/>
      <c r="M26" s="15"/>
      <c r="N26" s="15"/>
      <c r="O26" s="15"/>
      <c r="P26" s="15"/>
      <c r="Q26" s="15"/>
      <c r="R26" s="15"/>
      <c r="S26" s="16" t="n">
        <f aca="false">IFERROR(K26*460+L26*-560,0)</f>
        <v>0</v>
      </c>
    </row>
    <row r="27" customFormat="false" ht="19.5" hidden="false" customHeight="true" outlineLevel="0" collapsed="false">
      <c r="A27" s="17" t="s">
        <v>45</v>
      </c>
      <c r="B27" s="18" t="s">
        <v>28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20" t="n">
        <f aca="false">IFERROR(C27*460+D27*-560,0)+IFERROR(K27*460+L27*-560,0)</f>
        <v>0</v>
      </c>
    </row>
    <row r="28" customFormat="false" ht="19.5" hidden="false" customHeight="true" outlineLevel="0" collapsed="false">
      <c r="A28" s="17" t="s">
        <v>46</v>
      </c>
      <c r="B28" s="18" t="s">
        <v>17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20" t="n">
        <f aca="false">IFERROR(C28*460+D28*-560,0)+IFERROR(K28*460+L28*-560,0)</f>
        <v>0</v>
      </c>
    </row>
    <row r="29" customFormat="false" ht="19.5" hidden="false" customHeight="true" outlineLevel="0" collapsed="false">
      <c r="A29" s="17" t="s">
        <v>47</v>
      </c>
      <c r="B29" s="18" t="s">
        <v>19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20" t="n">
        <f aca="false">IFERROR(C29*460+D29*-560,0)+IFERROR(K29*460+L29*-560,0)</f>
        <v>0</v>
      </c>
    </row>
    <row r="30" customFormat="false" ht="19.5" hidden="false" customHeight="true" outlineLevel="0" collapsed="false">
      <c r="A30" s="17" t="s">
        <v>48</v>
      </c>
      <c r="B30" s="18" t="s">
        <v>21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0" t="n">
        <f aca="false">IFERROR(C30*460+D30*-560,0)+IFERROR(K30*460+L30*-560,0)</f>
        <v>0</v>
      </c>
    </row>
    <row r="31" customFormat="false" ht="19.5" hidden="false" customHeight="true" outlineLevel="0" collapsed="false">
      <c r="A31" s="17" t="s">
        <v>49</v>
      </c>
      <c r="B31" s="18" t="s">
        <v>23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20" t="n">
        <f aca="false">IFERROR(C31*460+D31*-560,0)+IFERROR(K31*460+L31*-560,0)</f>
        <v>0</v>
      </c>
    </row>
    <row r="32" customFormat="false" ht="19.5" hidden="false" customHeight="true" outlineLevel="0" collapsed="false">
      <c r="A32" s="12" t="s">
        <v>50</v>
      </c>
      <c r="B32" s="13" t="s">
        <v>25</v>
      </c>
      <c r="C32" s="14" t="s">
        <v>26</v>
      </c>
      <c r="D32" s="14" t="s">
        <v>26</v>
      </c>
      <c r="E32" s="14" t="s">
        <v>26</v>
      </c>
      <c r="F32" s="14" t="s">
        <v>26</v>
      </c>
      <c r="G32" s="14" t="s">
        <v>26</v>
      </c>
      <c r="H32" s="14" t="s">
        <v>26</v>
      </c>
      <c r="I32" s="14" t="s">
        <v>26</v>
      </c>
      <c r="J32" s="14" t="s">
        <v>26</v>
      </c>
      <c r="K32" s="15"/>
      <c r="L32" s="15"/>
      <c r="M32" s="15"/>
      <c r="N32" s="15"/>
      <c r="O32" s="15"/>
      <c r="P32" s="15"/>
      <c r="Q32" s="15"/>
      <c r="R32" s="15"/>
      <c r="S32" s="16" t="n">
        <f aca="false">IFERROR(K32*460+L32*-560,0)</f>
        <v>0</v>
      </c>
    </row>
    <row r="33" customFormat="false" ht="19.5" hidden="false" customHeight="true" outlineLevel="0" collapsed="false">
      <c r="A33" s="17" t="s">
        <v>51</v>
      </c>
      <c r="B33" s="18" t="s">
        <v>28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20" t="n">
        <f aca="false">IFERROR(C33*460+D33*-560,0)+IFERROR(K33*460+L33*-560,0)</f>
        <v>0</v>
      </c>
    </row>
    <row r="34" customFormat="false" ht="19.5" hidden="false" customHeight="true" outlineLevel="0" collapsed="false">
      <c r="A34" s="17" t="s">
        <v>52</v>
      </c>
      <c r="B34" s="18" t="s">
        <v>17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20" t="n">
        <f aca="false">IFERROR(C34*460+D34*-560,0)+IFERROR(K34*460+L34*-560,0)</f>
        <v>0</v>
      </c>
    </row>
    <row r="35" customFormat="false" ht="19.5" hidden="false" customHeight="true" outlineLevel="0" collapsed="false">
      <c r="A35" s="17" t="s">
        <v>53</v>
      </c>
      <c r="B35" s="18" t="s">
        <v>19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20" t="n">
        <f aca="false">IFERROR(C35*460+D35*-560,0)+IFERROR(K35*460+L35*-560,0)</f>
        <v>0</v>
      </c>
    </row>
    <row r="36" customFormat="false" ht="19.5" hidden="false" customHeight="true" outlineLevel="0" collapsed="false">
      <c r="A36" s="17" t="s">
        <v>54</v>
      </c>
      <c r="B36" s="18" t="s">
        <v>21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20" t="n">
        <f aca="false">IFERROR(C36*460+D36*-560,0)+IFERROR(K36*460+L36*-560,0)</f>
        <v>0</v>
      </c>
    </row>
    <row r="37" customFormat="false" ht="19.5" hidden="false" customHeight="true" outlineLevel="0" collapsed="false">
      <c r="A37" s="17" t="s">
        <v>55</v>
      </c>
      <c r="B37" s="18" t="s">
        <v>23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20" t="n">
        <f aca="false">IFERROR(C37*460+D37*-560,0)+IFERROR(K37*460+L37*-560,0)</f>
        <v>0</v>
      </c>
    </row>
    <row r="38" customFormat="false" ht="19.5" hidden="false" customHeight="true" outlineLevel="0" collapsed="false">
      <c r="A38" s="12" t="s">
        <v>56</v>
      </c>
      <c r="B38" s="13" t="s">
        <v>25</v>
      </c>
      <c r="C38" s="14" t="s">
        <v>26</v>
      </c>
      <c r="D38" s="14" t="s">
        <v>26</v>
      </c>
      <c r="E38" s="14" t="s">
        <v>26</v>
      </c>
      <c r="F38" s="14" t="s">
        <v>26</v>
      </c>
      <c r="G38" s="14" t="s">
        <v>26</v>
      </c>
      <c r="H38" s="14" t="s">
        <v>26</v>
      </c>
      <c r="I38" s="14" t="s">
        <v>26</v>
      </c>
      <c r="J38" s="14" t="s">
        <v>26</v>
      </c>
      <c r="K38" s="15"/>
      <c r="L38" s="15"/>
      <c r="M38" s="15"/>
      <c r="N38" s="15"/>
      <c r="O38" s="15"/>
      <c r="P38" s="15"/>
      <c r="Q38" s="15"/>
      <c r="R38" s="15"/>
      <c r="S38" s="16" t="n">
        <f aca="false">IFERROR(K38*460+L38*-560,0)</f>
        <v>0</v>
      </c>
    </row>
    <row r="39" customFormat="false" ht="19.5" hidden="false" customHeight="true" outlineLevel="0" collapsed="false">
      <c r="A39" s="17" t="s">
        <v>57</v>
      </c>
      <c r="B39" s="18" t="s">
        <v>17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20" t="n">
        <f aca="false">IFERROR(C39*460+D39*-560,0)+IFERROR(K39*460+L39*-560,0)</f>
        <v>0</v>
      </c>
    </row>
    <row r="40" customFormat="false" ht="19.5" hidden="false" customHeight="true" outlineLevel="0" collapsed="false">
      <c r="A40" s="17" t="s">
        <v>58</v>
      </c>
      <c r="B40" s="18" t="s">
        <v>19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20" t="n">
        <f aca="false">IFERROR(C40*460+D40*-560,0)+IFERROR(K40*460+L40*-560,0)</f>
        <v>0</v>
      </c>
    </row>
    <row r="41" customFormat="false" ht="19.5" hidden="false" customHeight="true" outlineLevel="0" collapsed="false">
      <c r="A41" s="17" t="s">
        <v>59</v>
      </c>
      <c r="B41" s="18" t="s">
        <v>21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20" t="n">
        <f aca="false">IFERROR(C41*460+D41*-560,0)+IFERROR(K41*460+L41*-560,0)</f>
        <v>0</v>
      </c>
    </row>
    <row r="42" customFormat="false" ht="19.5" hidden="false" customHeight="true" outlineLevel="0" collapsed="false">
      <c r="A42" s="17" t="s">
        <v>60</v>
      </c>
      <c r="B42" s="18" t="s">
        <v>23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20" t="n">
        <f aca="false">IFERROR(C42*460+D42*-560,0)+IFERROR(K42*460+L42*-560,0)</f>
        <v>0</v>
      </c>
    </row>
    <row r="43" customFormat="false" ht="19.5" hidden="false" customHeight="true" outlineLevel="0" collapsed="false">
      <c r="A43" s="12" t="s">
        <v>61</v>
      </c>
      <c r="B43" s="13" t="s">
        <v>25</v>
      </c>
      <c r="C43" s="14" t="s">
        <v>26</v>
      </c>
      <c r="D43" s="14" t="s">
        <v>26</v>
      </c>
      <c r="E43" s="14" t="s">
        <v>26</v>
      </c>
      <c r="F43" s="14" t="s">
        <v>26</v>
      </c>
      <c r="G43" s="14" t="s">
        <v>26</v>
      </c>
      <c r="H43" s="14" t="s">
        <v>26</v>
      </c>
      <c r="I43" s="14" t="s">
        <v>26</v>
      </c>
      <c r="J43" s="14" t="s">
        <v>26</v>
      </c>
      <c r="K43" s="15"/>
      <c r="L43" s="15"/>
      <c r="M43" s="15"/>
      <c r="N43" s="15"/>
      <c r="O43" s="15"/>
      <c r="P43" s="15"/>
      <c r="Q43" s="15"/>
      <c r="R43" s="15"/>
      <c r="S43" s="16" t="n">
        <f aca="false">IFERROR(K43*460+L43*-560,0)</f>
        <v>0</v>
      </c>
    </row>
    <row r="44" customFormat="false" ht="19.5" hidden="false" customHeight="true" outlineLevel="0" collapsed="false">
      <c r="A44" s="17" t="s">
        <v>62</v>
      </c>
      <c r="B44" s="18" t="s">
        <v>28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 t="n">
        <f aca="false">IFERROR(C44*460+D44*-560,0)+IFERROR(K44*460+L44*-560,0)</f>
        <v>0</v>
      </c>
    </row>
    <row r="45" customFormat="false" ht="19.5" hidden="false" customHeight="true" outlineLevel="0" collapsed="false">
      <c r="A45" s="17" t="s">
        <v>63</v>
      </c>
      <c r="B45" s="18" t="s">
        <v>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20" t="n">
        <f aca="false">IFERROR(C45*460+D45*-560,0)+IFERROR(K45*460+L45*-560,0)</f>
        <v>0</v>
      </c>
    </row>
    <row r="46" customFormat="false" ht="19.5" hidden="false" customHeight="true" outlineLevel="0" collapsed="false">
      <c r="A46" s="17" t="s">
        <v>64</v>
      </c>
      <c r="B46" s="18" t="s">
        <v>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20" t="n">
        <f aca="false">IFERROR(C46*460+D46*-560,0)+IFERROR(K46*460+L46*-560,0)</f>
        <v>0</v>
      </c>
    </row>
    <row r="47" customFormat="false" ht="19.5" hidden="false" customHeight="true" outlineLevel="0" collapsed="false">
      <c r="A47" s="17" t="s">
        <v>65</v>
      </c>
      <c r="B47" s="18" t="s">
        <v>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20" t="n">
        <f aca="false">IFERROR(C47*460+D47*-560,0)+IFERROR(K47*460+L47*-560,0)</f>
        <v>0</v>
      </c>
    </row>
    <row r="48" customFormat="false" ht="19.5" hidden="false" customHeight="true" outlineLevel="0" collapsed="false">
      <c r="A48" s="17" t="s">
        <v>66</v>
      </c>
      <c r="B48" s="18" t="s">
        <v>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20" t="n">
        <f aca="false">IFERROR(C48*460+D48*-560,0)+IFERROR(K48*460+L48*-560,0)</f>
        <v>0</v>
      </c>
    </row>
    <row r="49" customFormat="false" ht="19.5" hidden="false" customHeight="true" outlineLevel="0" collapsed="false">
      <c r="A49" s="12" t="s">
        <v>67</v>
      </c>
      <c r="B49" s="13" t="s">
        <v>25</v>
      </c>
      <c r="C49" s="14" t="s">
        <v>26</v>
      </c>
      <c r="D49" s="14" t="s">
        <v>26</v>
      </c>
      <c r="E49" s="14" t="s">
        <v>26</v>
      </c>
      <c r="F49" s="14" t="s">
        <v>26</v>
      </c>
      <c r="G49" s="14" t="s">
        <v>26</v>
      </c>
      <c r="H49" s="14" t="s">
        <v>26</v>
      </c>
      <c r="I49" s="14" t="s">
        <v>26</v>
      </c>
      <c r="J49" s="14" t="s">
        <v>26</v>
      </c>
      <c r="K49" s="15"/>
      <c r="L49" s="15"/>
      <c r="M49" s="15"/>
      <c r="N49" s="15"/>
      <c r="O49" s="15"/>
      <c r="P49" s="15"/>
      <c r="Q49" s="15"/>
      <c r="R49" s="15"/>
      <c r="S49" s="16" t="n">
        <f aca="false">IFERROR(K49*460+L49*-560,0)</f>
        <v>0</v>
      </c>
    </row>
    <row r="50" customFormat="false" ht="19.5" hidden="false" customHeight="true" outlineLevel="0" collapsed="false">
      <c r="A50" s="8" t="s">
        <v>68</v>
      </c>
      <c r="B50" s="9" t="s">
        <v>28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1" t="n">
        <f aca="false">IFERROR(C50*460+D50*-560,0)+IFERROR(K50*460+L50*-560,0)</f>
        <v>0</v>
      </c>
    </row>
    <row r="51" customFormat="false" ht="19.5" hidden="false" customHeight="true" outlineLevel="0" collapsed="false">
      <c r="A51" s="8" t="s">
        <v>69</v>
      </c>
      <c r="B51" s="9" t="s">
        <v>17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1" t="n">
        <f aca="false">IFERROR(C51*460+D51*-560,0)+IFERROR(K51*460+L51*-560,0)</f>
        <v>0</v>
      </c>
    </row>
    <row r="52" customFormat="false" ht="19.5" hidden="false" customHeight="true" outlineLevel="0" collapsed="false">
      <c r="A52" s="8" t="s">
        <v>70</v>
      </c>
      <c r="B52" s="9" t="s">
        <v>19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1" t="n">
        <f aca="false">IFERROR(C52*460+D52*-560,0)+IFERROR(K52*460+L52*-560,0)</f>
        <v>0</v>
      </c>
    </row>
    <row r="53" customFormat="false" ht="19.5" hidden="false" customHeight="true" outlineLevel="0" collapsed="false">
      <c r="A53" s="8" t="s">
        <v>71</v>
      </c>
      <c r="B53" s="9" t="s">
        <v>21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1" t="n">
        <f aca="false">IFERROR(C53*460+D53*-560,0)+IFERROR(K53*460+L53*-560,0)</f>
        <v>0</v>
      </c>
    </row>
    <row r="54" customFormat="false" ht="19.5" hidden="false" customHeight="true" outlineLevel="0" collapsed="false">
      <c r="A54" s="8" t="s">
        <v>72</v>
      </c>
      <c r="B54" s="9" t="s">
        <v>23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1" t="n">
        <f aca="false">IFERROR(C54*460+D54*-560,0)+IFERROR(K54*460+L54*-560,0)</f>
        <v>0</v>
      </c>
    </row>
    <row r="55" customFormat="false" ht="19.5" hidden="false" customHeight="true" outlineLevel="0" collapsed="false">
      <c r="A55" s="12" t="s">
        <v>73</v>
      </c>
      <c r="B55" s="13" t="s">
        <v>25</v>
      </c>
      <c r="C55" s="14" t="s">
        <v>26</v>
      </c>
      <c r="D55" s="14" t="s">
        <v>26</v>
      </c>
      <c r="E55" s="14" t="s">
        <v>26</v>
      </c>
      <c r="F55" s="14" t="s">
        <v>26</v>
      </c>
      <c r="G55" s="14" t="s">
        <v>26</v>
      </c>
      <c r="H55" s="14" t="s">
        <v>26</v>
      </c>
      <c r="I55" s="14" t="s">
        <v>26</v>
      </c>
      <c r="J55" s="14" t="s">
        <v>26</v>
      </c>
      <c r="K55" s="15"/>
      <c r="L55" s="15"/>
      <c r="M55" s="15"/>
      <c r="N55" s="15"/>
      <c r="O55" s="15"/>
      <c r="P55" s="15"/>
      <c r="Q55" s="15"/>
      <c r="R55" s="15"/>
      <c r="S55" s="16" t="n">
        <f aca="false">IFERROR(K55*460+L55*-560,0)</f>
        <v>0</v>
      </c>
    </row>
    <row r="56" customFormat="false" ht="19.5" hidden="false" customHeight="true" outlineLevel="0" collapsed="false">
      <c r="A56" s="8" t="s">
        <v>74</v>
      </c>
      <c r="B56" s="9" t="s">
        <v>28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1" t="n">
        <f aca="false">IFERROR(C56*460+D56*-560,0)+IFERROR(K56*460+L56*-560,0)</f>
        <v>0</v>
      </c>
    </row>
    <row r="57" customFormat="false" ht="19.5" hidden="false" customHeight="true" outlineLevel="0" collapsed="false">
      <c r="A57" s="8" t="s">
        <v>75</v>
      </c>
      <c r="B57" s="9" t="s">
        <v>17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1" t="n">
        <f aca="false">IFERROR(C57*460+D57*-560,0)+IFERROR(K57*460+L57*-560,0)</f>
        <v>0</v>
      </c>
    </row>
    <row r="58" customFormat="false" ht="19.5" hidden="false" customHeight="true" outlineLevel="0" collapsed="false">
      <c r="A58" s="8" t="s">
        <v>76</v>
      </c>
      <c r="B58" s="9" t="s">
        <v>19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1" t="n">
        <f aca="false">IFERROR(C58*460+D58*-560,0)+IFERROR(K58*460+L58*-560,0)</f>
        <v>0</v>
      </c>
    </row>
    <row r="59" customFormat="false" ht="19.5" hidden="false" customHeight="true" outlineLevel="0" collapsed="false">
      <c r="A59" s="8" t="s">
        <v>77</v>
      </c>
      <c r="B59" s="9" t="s">
        <v>21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1" t="n">
        <f aca="false">IFERROR(C59*460+D59*-560,0)+IFERROR(K59*460+L59*-560,0)</f>
        <v>0</v>
      </c>
    </row>
    <row r="60" customFormat="false" ht="19.5" hidden="false" customHeight="true" outlineLevel="0" collapsed="false">
      <c r="A60" s="8" t="s">
        <v>78</v>
      </c>
      <c r="B60" s="9" t="s">
        <v>23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1" t="n">
        <f aca="false">IFERROR(C60*460+D60*-560,0)+IFERROR(K60*460+L60*-560,0)</f>
        <v>0</v>
      </c>
    </row>
    <row r="61" customFormat="false" ht="19.5" hidden="false" customHeight="true" outlineLevel="0" collapsed="false">
      <c r="A61" s="12" t="s">
        <v>79</v>
      </c>
      <c r="B61" s="13" t="s">
        <v>25</v>
      </c>
      <c r="C61" s="14" t="s">
        <v>26</v>
      </c>
      <c r="D61" s="14" t="s">
        <v>26</v>
      </c>
      <c r="E61" s="14" t="s">
        <v>26</v>
      </c>
      <c r="F61" s="14" t="s">
        <v>26</v>
      </c>
      <c r="G61" s="14" t="s">
        <v>26</v>
      </c>
      <c r="H61" s="14" t="s">
        <v>26</v>
      </c>
      <c r="I61" s="14" t="s">
        <v>26</v>
      </c>
      <c r="J61" s="14" t="s">
        <v>26</v>
      </c>
      <c r="K61" s="15"/>
      <c r="L61" s="15"/>
      <c r="M61" s="15"/>
      <c r="N61" s="15"/>
      <c r="O61" s="15"/>
      <c r="P61" s="15"/>
      <c r="Q61" s="15"/>
      <c r="R61" s="15"/>
      <c r="S61" s="16" t="n">
        <f aca="false">IFERROR(K61*460+L61*-560,0)</f>
        <v>0</v>
      </c>
    </row>
    <row r="62" customFormat="false" ht="19.5" hidden="false" customHeight="true" outlineLevel="0" collapsed="false">
      <c r="A62" s="8" t="s">
        <v>80</v>
      </c>
      <c r="B62" s="9" t="s">
        <v>28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1" t="n">
        <f aca="false">IFERROR(C62*460+D62*-560,0)+IFERROR(K62*460+L62*-560,0)</f>
        <v>0</v>
      </c>
    </row>
    <row r="63" customFormat="false" ht="19.5" hidden="false" customHeight="true" outlineLevel="0" collapsed="false">
      <c r="A63" s="8" t="s">
        <v>81</v>
      </c>
      <c r="B63" s="9" t="s">
        <v>17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1" t="n">
        <f aca="false">IFERROR(C63*460+D63*-560,0)+IFERROR(K63*460+L63*-560,0)</f>
        <v>0</v>
      </c>
    </row>
    <row r="64" customFormat="false" ht="19.5" hidden="false" customHeight="true" outlineLevel="0" collapsed="false">
      <c r="A64" s="8" t="s">
        <v>82</v>
      </c>
      <c r="B64" s="9" t="s">
        <v>19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1" t="n">
        <f aca="false">IFERROR(C64*460+D64*-560,0)+IFERROR(K64*460+L64*-560,0)</f>
        <v>0</v>
      </c>
    </row>
    <row r="65" customFormat="false" ht="19.5" hidden="false" customHeight="true" outlineLevel="0" collapsed="false">
      <c r="A65" s="8" t="s">
        <v>83</v>
      </c>
      <c r="B65" s="9" t="s">
        <v>21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1" t="n">
        <f aca="false">IFERROR(C65*460+D65*-560,0)+IFERROR(K65*460+L65*-560,0)</f>
        <v>0</v>
      </c>
    </row>
    <row r="66" customFormat="false" ht="19.5" hidden="false" customHeight="true" outlineLevel="0" collapsed="false">
      <c r="A66" s="8" t="s">
        <v>84</v>
      </c>
      <c r="B66" s="9" t="s">
        <v>23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1" t="n">
        <f aca="false">IFERROR(C66*460+D66*-560,0)+IFERROR(K66*460+L66*-560,0)</f>
        <v>0</v>
      </c>
    </row>
    <row r="67" customFormat="false" ht="19.5" hidden="false" customHeight="true" outlineLevel="0" collapsed="false">
      <c r="A67" s="12" t="s">
        <v>85</v>
      </c>
      <c r="B67" s="13" t="s">
        <v>25</v>
      </c>
      <c r="C67" s="14" t="s">
        <v>26</v>
      </c>
      <c r="D67" s="14" t="s">
        <v>26</v>
      </c>
      <c r="E67" s="14" t="s">
        <v>26</v>
      </c>
      <c r="F67" s="14" t="s">
        <v>26</v>
      </c>
      <c r="G67" s="14" t="s">
        <v>26</v>
      </c>
      <c r="H67" s="14" t="s">
        <v>26</v>
      </c>
      <c r="I67" s="14" t="s">
        <v>26</v>
      </c>
      <c r="J67" s="14" t="s">
        <v>26</v>
      </c>
      <c r="K67" s="15"/>
      <c r="L67" s="15"/>
      <c r="M67" s="15"/>
      <c r="N67" s="15"/>
      <c r="O67" s="15"/>
      <c r="P67" s="15"/>
      <c r="Q67" s="15"/>
      <c r="R67" s="15"/>
      <c r="S67" s="16" t="n">
        <f aca="false">IFERROR(K67*460+L67*-560,0)</f>
        <v>0</v>
      </c>
    </row>
    <row r="68" customFormat="false" ht="19.5" hidden="false" customHeight="true" outlineLevel="0" collapsed="false">
      <c r="A68" s="8" t="s">
        <v>86</v>
      </c>
      <c r="B68" s="9" t="s">
        <v>28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1" t="n">
        <f aca="false">IFERROR(C68*460+D68*-560,0)+IFERROR(K68*460+L68*-560,0)</f>
        <v>0</v>
      </c>
    </row>
    <row r="69" customFormat="false" ht="19.5" hidden="false" customHeight="true" outlineLevel="0" collapsed="false">
      <c r="A69" s="8" t="s">
        <v>87</v>
      </c>
      <c r="B69" s="9" t="s">
        <v>17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1" t="n">
        <f aca="false">IFERROR(C69*460+D69*-560,0)+IFERROR(K69*460+L69*-560,0)</f>
        <v>0</v>
      </c>
    </row>
    <row r="70" customFormat="false" ht="19.5" hidden="false" customHeight="true" outlineLevel="0" collapsed="false">
      <c r="A70" s="8" t="s">
        <v>88</v>
      </c>
      <c r="B70" s="9" t="s">
        <v>19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1" t="n">
        <f aca="false">IFERROR(C70*460+D70*-560,0)+IFERROR(K70*460+L70*-560,0)</f>
        <v>0</v>
      </c>
    </row>
    <row r="71" customFormat="false" ht="19.5" hidden="false" customHeight="true" outlineLevel="0" collapsed="false">
      <c r="A71" s="8" t="s">
        <v>89</v>
      </c>
      <c r="B71" s="9" t="s">
        <v>21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1" t="n">
        <f aca="false">IFERROR(C71*460+D71*-560,0)+IFERROR(K71*460+L71*-560,0)</f>
        <v>0</v>
      </c>
    </row>
    <row r="72" customFormat="false" ht="19.5" hidden="false" customHeight="true" outlineLevel="0" collapsed="false">
      <c r="A72" s="8" t="s">
        <v>90</v>
      </c>
      <c r="B72" s="9" t="s">
        <v>23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1" t="n">
        <f aca="false">IFERROR(C72*460+D72*-560,0)+IFERROR(K72*460+L72*-560,0)</f>
        <v>0</v>
      </c>
    </row>
    <row r="73" customFormat="false" ht="19.5" hidden="false" customHeight="true" outlineLevel="0" collapsed="false">
      <c r="A73" s="12" t="s">
        <v>91</v>
      </c>
      <c r="B73" s="13" t="s">
        <v>25</v>
      </c>
      <c r="C73" s="14" t="s">
        <v>26</v>
      </c>
      <c r="D73" s="14" t="s">
        <v>26</v>
      </c>
      <c r="E73" s="14" t="s">
        <v>26</v>
      </c>
      <c r="F73" s="14" t="s">
        <v>26</v>
      </c>
      <c r="G73" s="14" t="s">
        <v>26</v>
      </c>
      <c r="H73" s="14" t="s">
        <v>26</v>
      </c>
      <c r="I73" s="14" t="s">
        <v>26</v>
      </c>
      <c r="J73" s="14" t="s">
        <v>26</v>
      </c>
      <c r="K73" s="15"/>
      <c r="L73" s="15"/>
      <c r="M73" s="15"/>
      <c r="N73" s="15"/>
      <c r="O73" s="15"/>
      <c r="P73" s="15"/>
      <c r="Q73" s="15"/>
      <c r="R73" s="15"/>
      <c r="S73" s="16" t="n">
        <f aca="false">IFERROR(K73*460+L73*-560,0)</f>
        <v>0</v>
      </c>
    </row>
    <row r="74" customFormat="false" ht="19.5" hidden="false" customHeight="true" outlineLevel="0" collapsed="false">
      <c r="A74" s="8" t="s">
        <v>92</v>
      </c>
      <c r="B74" s="9" t="s">
        <v>28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1" t="n">
        <f aca="false">IFERROR(C74*460+D74*-560,0)+IFERROR(K74*460+L74*-560,0)</f>
        <v>0</v>
      </c>
    </row>
    <row r="75" customFormat="false" ht="19.5" hidden="false" customHeight="true" outlineLevel="0" collapsed="false">
      <c r="A75" s="8" t="s">
        <v>93</v>
      </c>
      <c r="B75" s="9" t="s">
        <v>17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1" t="n">
        <f aca="false">IFERROR(C75*460+D75*-560,0)+IFERROR(K75*460+L75*-560,0)</f>
        <v>0</v>
      </c>
    </row>
    <row r="76" customFormat="false" ht="19.5" hidden="false" customHeight="true" outlineLevel="0" collapsed="false">
      <c r="A76" s="17" t="s">
        <v>94</v>
      </c>
      <c r="B76" s="18" t="s">
        <v>19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20" t="n">
        <f aca="false">IFERROR(C76*460+D76*-560,0)+IFERROR(K76*460+L76*-560,0)</f>
        <v>0</v>
      </c>
    </row>
    <row r="77" customFormat="false" ht="19.5" hidden="false" customHeight="true" outlineLevel="0" collapsed="false">
      <c r="A77" s="17" t="s">
        <v>95</v>
      </c>
      <c r="B77" s="18" t="s">
        <v>21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20" t="n">
        <f aca="false">IFERROR(C77*460+D77*-560,0)+IFERROR(K77*460+L77*-560,0)</f>
        <v>0</v>
      </c>
    </row>
    <row r="78" customFormat="false" ht="19.5" hidden="false" customHeight="true" outlineLevel="0" collapsed="false">
      <c r="A78" s="12" t="s">
        <v>96</v>
      </c>
      <c r="B78" s="13" t="s">
        <v>25</v>
      </c>
      <c r="C78" s="14" t="s">
        <v>26</v>
      </c>
      <c r="D78" s="14" t="s">
        <v>26</v>
      </c>
      <c r="E78" s="14" t="s">
        <v>26</v>
      </c>
      <c r="F78" s="14" t="s">
        <v>26</v>
      </c>
      <c r="G78" s="14" t="s">
        <v>26</v>
      </c>
      <c r="H78" s="14" t="s">
        <v>26</v>
      </c>
      <c r="I78" s="14" t="s">
        <v>26</v>
      </c>
      <c r="J78" s="14" t="s">
        <v>26</v>
      </c>
      <c r="K78" s="15"/>
      <c r="L78" s="15"/>
      <c r="M78" s="15"/>
      <c r="N78" s="15"/>
      <c r="O78" s="15"/>
      <c r="P78" s="15"/>
      <c r="Q78" s="15"/>
      <c r="R78" s="15"/>
      <c r="S78" s="16" t="n">
        <f aca="false">IFERROR(K78*460+L78*-560,0)</f>
        <v>0</v>
      </c>
    </row>
    <row r="79" customFormat="false" ht="19.5" hidden="false" customHeight="true" outlineLevel="0" collapsed="false">
      <c r="A79" s="17" t="s">
        <v>97</v>
      </c>
      <c r="B79" s="18" t="s">
        <v>28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20" t="n">
        <f aca="false">IFERROR(C79*460+D79*-560,0)+IFERROR(K79*460+L79*-560,0)</f>
        <v>0</v>
      </c>
    </row>
    <row r="80" customFormat="false" ht="19.5" hidden="false" customHeight="true" outlineLevel="0" collapsed="false">
      <c r="A80" s="17" t="s">
        <v>98</v>
      </c>
      <c r="B80" s="18" t="s">
        <v>17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20" t="n">
        <f aca="false">IFERROR(C80*460+D80*-560,0)+IFERROR(K80*460+L80*-560,0)</f>
        <v>0</v>
      </c>
    </row>
    <row r="81" customFormat="false" ht="19.5" hidden="false" customHeight="true" outlineLevel="0" collapsed="false">
      <c r="A81" s="17" t="s">
        <v>99</v>
      </c>
      <c r="B81" s="18" t="s">
        <v>19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20" t="n">
        <f aca="false">IFERROR(C81*460+D81*-560,0)+IFERROR(K81*460+L81*-560,0)</f>
        <v>0</v>
      </c>
    </row>
    <row r="82" customFormat="false" ht="19.5" hidden="false" customHeight="true" outlineLevel="0" collapsed="false">
      <c r="A82" s="17" t="s">
        <v>100</v>
      </c>
      <c r="B82" s="18" t="s">
        <v>21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20" t="n">
        <f aca="false">IFERROR(C82*460+D82*-560,0)+IFERROR(K82*460+L82*-560,0)</f>
        <v>0</v>
      </c>
    </row>
    <row r="83" customFormat="false" ht="19.5" hidden="false" customHeight="true" outlineLevel="0" collapsed="false">
      <c r="A83" s="17" t="s">
        <v>101</v>
      </c>
      <c r="B83" s="18" t="s">
        <v>23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20" t="n">
        <f aca="false">IFERROR(C83*460+D83*-560,0)+IFERROR(K83*460+L83*-560,0)</f>
        <v>0</v>
      </c>
    </row>
    <row r="84" customFormat="false" ht="19.5" hidden="false" customHeight="true" outlineLevel="0" collapsed="false">
      <c r="A84" s="12" t="s">
        <v>102</v>
      </c>
      <c r="B84" s="13" t="s">
        <v>25</v>
      </c>
      <c r="C84" s="14" t="s">
        <v>26</v>
      </c>
      <c r="D84" s="14" t="s">
        <v>26</v>
      </c>
      <c r="E84" s="14" t="s">
        <v>26</v>
      </c>
      <c r="F84" s="14" t="s">
        <v>26</v>
      </c>
      <c r="G84" s="14" t="s">
        <v>26</v>
      </c>
      <c r="H84" s="14" t="s">
        <v>26</v>
      </c>
      <c r="I84" s="14" t="s">
        <v>26</v>
      </c>
      <c r="J84" s="14" t="s">
        <v>26</v>
      </c>
      <c r="K84" s="15"/>
      <c r="L84" s="15"/>
      <c r="M84" s="15"/>
      <c r="N84" s="15"/>
      <c r="O84" s="15"/>
      <c r="P84" s="15"/>
      <c r="Q84" s="15"/>
      <c r="R84" s="15"/>
      <c r="S84" s="16" t="n">
        <f aca="false">IFERROR(K84*460+L84*-560,0)</f>
        <v>0</v>
      </c>
    </row>
    <row r="85" customFormat="false" ht="19.5" hidden="false" customHeight="true" outlineLevel="0" collapsed="false">
      <c r="A85" s="17" t="s">
        <v>103</v>
      </c>
      <c r="B85" s="18" t="s">
        <v>28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20" t="n">
        <f aca="false">IFERROR(C85*460+D85*-560,0)+IFERROR(K85*460+L85*-560,0)</f>
        <v>0</v>
      </c>
    </row>
    <row r="86" customFormat="false" ht="19.5" hidden="false" customHeight="true" outlineLevel="0" collapsed="false">
      <c r="A86" s="17" t="s">
        <v>104</v>
      </c>
      <c r="B86" s="18" t="s">
        <v>17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20" t="n">
        <f aca="false">IFERROR(C86*460+D86*-560,0)+IFERROR(K86*460+L86*-560,0)</f>
        <v>0</v>
      </c>
    </row>
    <row r="87" customFormat="false" ht="19.5" hidden="false" customHeight="true" outlineLevel="0" collapsed="false">
      <c r="A87" s="17" t="s">
        <v>105</v>
      </c>
      <c r="B87" s="18" t="s">
        <v>19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20" t="n">
        <f aca="false">IFERROR(C87*460+D87*-560,0)+IFERROR(K87*460+L87*-560,0)</f>
        <v>0</v>
      </c>
    </row>
    <row r="88" customFormat="false" ht="19.5" hidden="false" customHeight="true" outlineLevel="0" collapsed="false">
      <c r="A88" s="17" t="s">
        <v>106</v>
      </c>
      <c r="B88" s="18" t="s">
        <v>21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20" t="n">
        <f aca="false">IFERROR(C88*460+D88*-560,0)+IFERROR(K88*460+L88*-560,0)</f>
        <v>0</v>
      </c>
    </row>
    <row r="89" customFormat="false" ht="19.5" hidden="false" customHeight="true" outlineLevel="0" collapsed="false">
      <c r="A89" s="17" t="s">
        <v>107</v>
      </c>
      <c r="B89" s="18" t="s">
        <v>23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20" t="n">
        <f aca="false">IFERROR(C89*460+D89*-560,0)+IFERROR(K89*460+L89*-560,0)</f>
        <v>0</v>
      </c>
    </row>
    <row r="90" customFormat="false" ht="19.5" hidden="false" customHeight="true" outlineLevel="0" collapsed="false">
      <c r="A90" s="12" t="s">
        <v>108</v>
      </c>
      <c r="B90" s="13" t="s">
        <v>25</v>
      </c>
      <c r="C90" s="14" t="s">
        <v>26</v>
      </c>
      <c r="D90" s="14" t="s">
        <v>26</v>
      </c>
      <c r="E90" s="14" t="s">
        <v>26</v>
      </c>
      <c r="F90" s="14" t="s">
        <v>26</v>
      </c>
      <c r="G90" s="14" t="s">
        <v>26</v>
      </c>
      <c r="H90" s="14" t="s">
        <v>26</v>
      </c>
      <c r="I90" s="14" t="s">
        <v>26</v>
      </c>
      <c r="J90" s="14" t="s">
        <v>26</v>
      </c>
      <c r="K90" s="15"/>
      <c r="L90" s="15"/>
      <c r="M90" s="15"/>
      <c r="N90" s="15"/>
      <c r="O90" s="15"/>
      <c r="P90" s="15"/>
      <c r="Q90" s="15"/>
      <c r="R90" s="15"/>
      <c r="S90" s="16" t="n">
        <f aca="false">IFERROR(K90*460+L90*-560,0)</f>
        <v>0</v>
      </c>
    </row>
    <row r="91" customFormat="false" ht="19.5" hidden="false" customHeight="true" outlineLevel="0" collapsed="false">
      <c r="A91" s="17" t="s">
        <v>109</v>
      </c>
      <c r="B91" s="18" t="s">
        <v>28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20" t="n">
        <f aca="false">IFERROR(C91*460+D91*-560,0)+IFERROR(K91*460+L91*-560,0)</f>
        <v>0</v>
      </c>
    </row>
    <row r="92" customFormat="false" ht="19.5" hidden="false" customHeight="true" outlineLevel="0" collapsed="false">
      <c r="A92" s="17" t="s">
        <v>110</v>
      </c>
      <c r="B92" s="18" t="s">
        <v>17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20" t="n">
        <f aca="false">IFERROR(C92*460+D92*-560,0)+IFERROR(K92*460+L92*-560,0)</f>
        <v>0</v>
      </c>
    </row>
    <row r="93" customFormat="false" ht="19.5" hidden="false" customHeight="true" outlineLevel="0" collapsed="false">
      <c r="A93" s="17" t="s">
        <v>111</v>
      </c>
      <c r="B93" s="18" t="s">
        <v>19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20" t="n">
        <f aca="false">IFERROR(C93*460+D93*-560,0)+IFERROR(K93*460+L93*-560,0)</f>
        <v>0</v>
      </c>
    </row>
    <row r="94" customFormat="false" ht="19.5" hidden="false" customHeight="true" outlineLevel="0" collapsed="false">
      <c r="A94" s="17" t="s">
        <v>112</v>
      </c>
      <c r="B94" s="18" t="s">
        <v>21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20" t="n">
        <f aca="false">IFERROR(C94*460+D94*-560,0)+IFERROR(K94*460+L94*-560,0)</f>
        <v>0</v>
      </c>
    </row>
    <row r="95" customFormat="false" ht="19.5" hidden="false" customHeight="true" outlineLevel="0" collapsed="false">
      <c r="A95" s="17" t="s">
        <v>113</v>
      </c>
      <c r="B95" s="18" t="s">
        <v>23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20" t="n">
        <f aca="false">IFERROR(C95*460+D95*-560,0)+IFERROR(K95*460+L95*-560,0)</f>
        <v>0</v>
      </c>
    </row>
    <row r="96" customFormat="false" ht="19.5" hidden="false" customHeight="true" outlineLevel="0" collapsed="false">
      <c r="A96" s="12" t="s">
        <v>114</v>
      </c>
      <c r="B96" s="13" t="s">
        <v>25</v>
      </c>
      <c r="C96" s="14" t="s">
        <v>26</v>
      </c>
      <c r="D96" s="14" t="s">
        <v>26</v>
      </c>
      <c r="E96" s="14" t="s">
        <v>26</v>
      </c>
      <c r="F96" s="14" t="s">
        <v>26</v>
      </c>
      <c r="G96" s="14" t="s">
        <v>26</v>
      </c>
      <c r="H96" s="14" t="s">
        <v>26</v>
      </c>
      <c r="I96" s="14" t="s">
        <v>26</v>
      </c>
      <c r="J96" s="14" t="s">
        <v>26</v>
      </c>
      <c r="K96" s="15"/>
      <c r="L96" s="15"/>
      <c r="M96" s="15"/>
      <c r="N96" s="15"/>
      <c r="O96" s="15"/>
      <c r="P96" s="15"/>
      <c r="Q96" s="15"/>
      <c r="R96" s="15"/>
      <c r="S96" s="16" t="n">
        <f aca="false">IFERROR(K96*460+L96*-560,0)</f>
        <v>0</v>
      </c>
    </row>
    <row r="97" customFormat="false" ht="19.5" hidden="false" customHeight="true" outlineLevel="0" collapsed="false">
      <c r="A97" s="17" t="s">
        <v>115</v>
      </c>
      <c r="B97" s="18" t="s">
        <v>28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20" t="n">
        <f aca="false">IFERROR(C97*460+D97*-560,0)+IFERROR(K97*460+L97*-560,0)</f>
        <v>0</v>
      </c>
    </row>
    <row r="98" customFormat="false" ht="19.5" hidden="false" customHeight="true" outlineLevel="0" collapsed="false">
      <c r="A98" s="17" t="s">
        <v>116</v>
      </c>
      <c r="B98" s="18" t="s">
        <v>17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20" t="n">
        <f aca="false">IFERROR(C98*460+D98*-560,0)+IFERROR(K98*460+L98*-560,0)</f>
        <v>0</v>
      </c>
    </row>
    <row r="99" customFormat="false" ht="19.5" hidden="false" customHeight="true" outlineLevel="0" collapsed="false">
      <c r="A99" s="17" t="s">
        <v>117</v>
      </c>
      <c r="B99" s="18" t="s">
        <v>19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20" t="n">
        <f aca="false">IFERROR(C99*460+D99*-560,0)+IFERROR(K99*460+L99*-560,0)</f>
        <v>0</v>
      </c>
    </row>
    <row r="100" customFormat="false" ht="19.5" hidden="false" customHeight="true" outlineLevel="0" collapsed="false">
      <c r="A100" s="17" t="s">
        <v>118</v>
      </c>
      <c r="B100" s="18" t="s">
        <v>21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20" t="n">
        <f aca="false">IFERROR(C100*460+D100*-560,0)+IFERROR(K100*460+L100*-560,0)</f>
        <v>0</v>
      </c>
    </row>
    <row r="101" customFormat="false" ht="19.5" hidden="false" customHeight="true" outlineLevel="0" collapsed="false">
      <c r="A101" s="8" t="s">
        <v>119</v>
      </c>
      <c r="B101" s="9" t="s">
        <v>23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1" t="n">
        <f aca="false">IFERROR(C101*460+D101*-560,0)+IFERROR(K101*460+L101*-560,0)</f>
        <v>0</v>
      </c>
    </row>
    <row r="102" customFormat="false" ht="19.5" hidden="false" customHeight="true" outlineLevel="0" collapsed="false">
      <c r="A102" s="12" t="s">
        <v>120</v>
      </c>
      <c r="B102" s="13" t="s">
        <v>25</v>
      </c>
      <c r="C102" s="14" t="s">
        <v>26</v>
      </c>
      <c r="D102" s="14" t="s">
        <v>26</v>
      </c>
      <c r="E102" s="14" t="s">
        <v>26</v>
      </c>
      <c r="F102" s="14" t="s">
        <v>26</v>
      </c>
      <c r="G102" s="14" t="s">
        <v>26</v>
      </c>
      <c r="H102" s="14" t="s">
        <v>26</v>
      </c>
      <c r="I102" s="14" t="s">
        <v>26</v>
      </c>
      <c r="J102" s="14" t="s">
        <v>26</v>
      </c>
      <c r="K102" s="15"/>
      <c r="L102" s="15"/>
      <c r="M102" s="15"/>
      <c r="N102" s="15"/>
      <c r="O102" s="15"/>
      <c r="P102" s="15"/>
      <c r="Q102" s="15"/>
      <c r="R102" s="15"/>
      <c r="S102" s="16" t="n">
        <f aca="false">IFERROR(K102*460+L102*-560,0)</f>
        <v>0</v>
      </c>
    </row>
    <row r="103" customFormat="false" ht="19.5" hidden="false" customHeight="true" outlineLevel="0" collapsed="false">
      <c r="A103" s="8" t="s">
        <v>121</v>
      </c>
      <c r="B103" s="9" t="s">
        <v>28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1" t="n">
        <f aca="false">IFERROR(C103*460+D103*-560,0)+IFERROR(K103*460+L103*-560,0)</f>
        <v>0</v>
      </c>
    </row>
    <row r="104" customFormat="false" ht="19.5" hidden="false" customHeight="true" outlineLevel="0" collapsed="false">
      <c r="A104" s="8" t="s">
        <v>122</v>
      </c>
      <c r="B104" s="9" t="s">
        <v>17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1" t="n">
        <f aca="false">IFERROR(C104*460+D104*-560,0)+IFERROR(K104*460+L104*-560,0)</f>
        <v>0</v>
      </c>
    </row>
    <row r="105" customFormat="false" ht="19.5" hidden="false" customHeight="true" outlineLevel="0" collapsed="false">
      <c r="A105" s="8" t="s">
        <v>123</v>
      </c>
      <c r="B105" s="9" t="s">
        <v>19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1" t="n">
        <f aca="false">IFERROR(C105*460+D105*-560,0)+IFERROR(K105*460+L105*-560,0)</f>
        <v>0</v>
      </c>
    </row>
    <row r="106" customFormat="false" ht="19.5" hidden="false" customHeight="true" outlineLevel="0" collapsed="false">
      <c r="A106" s="8" t="s">
        <v>124</v>
      </c>
      <c r="B106" s="9" t="s">
        <v>21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1" t="n">
        <f aca="false">IFERROR(C106*460+D106*-560,0)+IFERROR(K106*460+L106*-560,0)</f>
        <v>0</v>
      </c>
    </row>
    <row r="107" customFormat="false" ht="19.5" hidden="false" customHeight="true" outlineLevel="0" collapsed="false">
      <c r="A107" s="8" t="s">
        <v>125</v>
      </c>
      <c r="B107" s="9" t="s">
        <v>23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1" t="n">
        <f aca="false">IFERROR(C107*460+D107*-560,0)+IFERROR(K107*460+L107*-560,0)</f>
        <v>0</v>
      </c>
    </row>
    <row r="108" customFormat="false" ht="19.5" hidden="false" customHeight="true" outlineLevel="0" collapsed="false">
      <c r="A108" s="12" t="s">
        <v>126</v>
      </c>
      <c r="B108" s="13" t="s">
        <v>25</v>
      </c>
      <c r="C108" s="14" t="s">
        <v>26</v>
      </c>
      <c r="D108" s="14" t="s">
        <v>26</v>
      </c>
      <c r="E108" s="14" t="s">
        <v>26</v>
      </c>
      <c r="F108" s="14" t="s">
        <v>26</v>
      </c>
      <c r="G108" s="14" t="s">
        <v>26</v>
      </c>
      <c r="H108" s="14" t="s">
        <v>26</v>
      </c>
      <c r="I108" s="14" t="s">
        <v>26</v>
      </c>
      <c r="J108" s="14" t="s">
        <v>26</v>
      </c>
      <c r="K108" s="15"/>
      <c r="L108" s="15"/>
      <c r="M108" s="15"/>
      <c r="N108" s="15"/>
      <c r="O108" s="15"/>
      <c r="P108" s="15"/>
      <c r="Q108" s="15"/>
      <c r="R108" s="15"/>
      <c r="S108" s="16" t="n">
        <f aca="false">IFERROR(K108*460+L108*-560,0)</f>
        <v>0</v>
      </c>
    </row>
    <row r="109" customFormat="false" ht="19.5" hidden="false" customHeight="true" outlineLevel="0" collapsed="false">
      <c r="A109" s="8" t="s">
        <v>127</v>
      </c>
      <c r="B109" s="9" t="s">
        <v>28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1" t="n">
        <f aca="false">IFERROR(C109*460+D109*-560,0)+IFERROR(K109*460+L109*-560,0)</f>
        <v>0</v>
      </c>
    </row>
    <row r="110" customFormat="false" ht="19.5" hidden="false" customHeight="true" outlineLevel="0" collapsed="false">
      <c r="A110" s="8" t="s">
        <v>128</v>
      </c>
      <c r="B110" s="9" t="s">
        <v>17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1" t="n">
        <f aca="false">IFERROR(C110*460+D110*-560,0)+IFERROR(K110*460+L110*-560,0)</f>
        <v>0</v>
      </c>
    </row>
    <row r="111" customFormat="false" ht="19.5" hidden="false" customHeight="true" outlineLevel="0" collapsed="false">
      <c r="A111" s="8" t="s">
        <v>129</v>
      </c>
      <c r="B111" s="9" t="s">
        <v>19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1" t="n">
        <f aca="false">IFERROR(C111*460+D111*-560,0)+IFERROR(K111*460+L111*-560,0)</f>
        <v>0</v>
      </c>
    </row>
    <row r="112" customFormat="false" ht="19.5" hidden="false" customHeight="true" outlineLevel="0" collapsed="false">
      <c r="A112" s="8" t="s">
        <v>130</v>
      </c>
      <c r="B112" s="9" t="s">
        <v>21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1" t="n">
        <f aca="false">IFERROR(C112*460+D112*-560,0)+IFERROR(K112*460+L112*-560,0)</f>
        <v>0</v>
      </c>
    </row>
    <row r="113" customFormat="false" ht="19.5" hidden="false" customHeight="true" outlineLevel="0" collapsed="false">
      <c r="A113" s="8" t="s">
        <v>131</v>
      </c>
      <c r="B113" s="9" t="s">
        <v>23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1" t="n">
        <f aca="false">IFERROR(C113*460+D113*-560,0)+IFERROR(K113*460+L113*-560,0)</f>
        <v>0</v>
      </c>
    </row>
    <row r="114" customFormat="false" ht="19.5" hidden="false" customHeight="true" outlineLevel="0" collapsed="false">
      <c r="A114" s="12" t="s">
        <v>132</v>
      </c>
      <c r="B114" s="13" t="s">
        <v>25</v>
      </c>
      <c r="C114" s="14" t="s">
        <v>26</v>
      </c>
      <c r="D114" s="14" t="s">
        <v>26</v>
      </c>
      <c r="E114" s="14" t="s">
        <v>26</v>
      </c>
      <c r="F114" s="14" t="s">
        <v>26</v>
      </c>
      <c r="G114" s="14" t="s">
        <v>26</v>
      </c>
      <c r="H114" s="14" t="s">
        <v>26</v>
      </c>
      <c r="I114" s="14" t="s">
        <v>26</v>
      </c>
      <c r="J114" s="14" t="s">
        <v>26</v>
      </c>
      <c r="K114" s="15"/>
      <c r="L114" s="15"/>
      <c r="M114" s="15"/>
      <c r="N114" s="15"/>
      <c r="O114" s="15"/>
      <c r="P114" s="15"/>
      <c r="Q114" s="15"/>
      <c r="R114" s="15"/>
      <c r="S114" s="16" t="n">
        <f aca="false">IFERROR(K114*460+L114*-560,0)</f>
        <v>0</v>
      </c>
    </row>
    <row r="115" customFormat="false" ht="19.5" hidden="false" customHeight="true" outlineLevel="0" collapsed="false">
      <c r="A115" s="8" t="s">
        <v>133</v>
      </c>
      <c r="B115" s="9" t="s">
        <v>28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1" t="n">
        <f aca="false">IFERROR(C115*460+D115*-560,0)+IFERROR(K115*460+L115*-560,0)</f>
        <v>0</v>
      </c>
    </row>
    <row r="116" customFormat="false" ht="19.5" hidden="false" customHeight="true" outlineLevel="0" collapsed="false">
      <c r="A116" s="8" t="s">
        <v>134</v>
      </c>
      <c r="B116" s="9" t="s">
        <v>17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1" t="n">
        <f aca="false">IFERROR(C116*460+D116*-560,0)+IFERROR(K116*460+L116*-560,0)</f>
        <v>0</v>
      </c>
    </row>
    <row r="117" customFormat="false" ht="19.5" hidden="false" customHeight="true" outlineLevel="0" collapsed="false">
      <c r="A117" s="8" t="s">
        <v>135</v>
      </c>
      <c r="B117" s="9" t="s">
        <v>19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1" t="n">
        <f aca="false">IFERROR(C117*460+D117*-560,0)+IFERROR(K117*460+L117*-560,0)</f>
        <v>0</v>
      </c>
    </row>
    <row r="118" customFormat="false" ht="19.5" hidden="false" customHeight="true" outlineLevel="0" collapsed="false">
      <c r="A118" s="8" t="s">
        <v>136</v>
      </c>
      <c r="B118" s="9" t="s">
        <v>21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1" t="n">
        <f aca="false">IFERROR(C118*460+D118*-560,0)+IFERROR(K118*460+L118*-560,0)</f>
        <v>0</v>
      </c>
    </row>
    <row r="119" customFormat="false" ht="19.5" hidden="false" customHeight="true" outlineLevel="0" collapsed="false">
      <c r="A119" s="8" t="s">
        <v>137</v>
      </c>
      <c r="B119" s="9" t="s">
        <v>23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1" t="n">
        <f aca="false">IFERROR(C119*460+D119*-560,0)+IFERROR(K119*460+L119*-560,0)</f>
        <v>0</v>
      </c>
    </row>
    <row r="120" customFormat="false" ht="19.5" hidden="false" customHeight="true" outlineLevel="0" collapsed="false">
      <c r="A120" s="12" t="s">
        <v>138</v>
      </c>
      <c r="B120" s="13" t="s">
        <v>25</v>
      </c>
      <c r="C120" s="14" t="s">
        <v>26</v>
      </c>
      <c r="D120" s="14" t="s">
        <v>26</v>
      </c>
      <c r="E120" s="14" t="s">
        <v>26</v>
      </c>
      <c r="F120" s="14" t="s">
        <v>26</v>
      </c>
      <c r="G120" s="14" t="s">
        <v>26</v>
      </c>
      <c r="H120" s="14" t="s">
        <v>26</v>
      </c>
      <c r="I120" s="14" t="s">
        <v>26</v>
      </c>
      <c r="J120" s="14" t="s">
        <v>26</v>
      </c>
      <c r="K120" s="15"/>
      <c r="L120" s="15"/>
      <c r="M120" s="15"/>
      <c r="N120" s="15"/>
      <c r="O120" s="15"/>
      <c r="P120" s="15"/>
      <c r="Q120" s="15"/>
      <c r="R120" s="15"/>
      <c r="S120" s="16" t="n">
        <f aca="false">IFERROR(K120*460+L120*-560,0)</f>
        <v>0</v>
      </c>
    </row>
    <row r="121" customFormat="false" ht="19.5" hidden="false" customHeight="true" outlineLevel="0" collapsed="false">
      <c r="A121" s="8" t="s">
        <v>139</v>
      </c>
      <c r="B121" s="9" t="s">
        <v>17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1" t="n">
        <f aca="false">IFERROR(C121*460+D121*-560,0)+IFERROR(K121*460+L121*-560,0)</f>
        <v>0</v>
      </c>
    </row>
    <row r="122" customFormat="false" ht="19.5" hidden="false" customHeight="true" outlineLevel="0" collapsed="false">
      <c r="A122" s="8" t="s">
        <v>140</v>
      </c>
      <c r="B122" s="9" t="s">
        <v>19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1" t="n">
        <f aca="false">IFERROR(C122*460+D122*-560,0)+IFERROR(K122*460+L122*-560,0)</f>
        <v>0</v>
      </c>
    </row>
    <row r="123" customFormat="false" ht="19.5" hidden="false" customHeight="true" outlineLevel="0" collapsed="false">
      <c r="A123" s="8" t="s">
        <v>141</v>
      </c>
      <c r="B123" s="9" t="s">
        <v>21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1" t="n">
        <f aca="false">IFERROR(C123*460+D123*-560,0)+IFERROR(K123*460+L123*-560,0)</f>
        <v>0</v>
      </c>
    </row>
    <row r="124" customFormat="false" ht="19.5" hidden="false" customHeight="true" outlineLevel="0" collapsed="false">
      <c r="A124" s="8" t="s">
        <v>142</v>
      </c>
      <c r="B124" s="9" t="s">
        <v>23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1" t="n">
        <f aca="false">IFERROR(C124*460+D124*-560,0)+IFERROR(K124*460+L124*-560,0)</f>
        <v>0</v>
      </c>
    </row>
    <row r="125" customFormat="false" ht="19.5" hidden="false" customHeight="true" outlineLevel="0" collapsed="false">
      <c r="A125" s="12" t="s">
        <v>143</v>
      </c>
      <c r="B125" s="13" t="s">
        <v>25</v>
      </c>
      <c r="C125" s="14" t="s">
        <v>26</v>
      </c>
      <c r="D125" s="14" t="s">
        <v>26</v>
      </c>
      <c r="E125" s="14" t="s">
        <v>26</v>
      </c>
      <c r="F125" s="14" t="s">
        <v>26</v>
      </c>
      <c r="G125" s="14" t="s">
        <v>26</v>
      </c>
      <c r="H125" s="14" t="s">
        <v>26</v>
      </c>
      <c r="I125" s="14" t="s">
        <v>26</v>
      </c>
      <c r="J125" s="14" t="s">
        <v>26</v>
      </c>
      <c r="K125" s="15"/>
      <c r="L125" s="15"/>
      <c r="M125" s="15"/>
      <c r="N125" s="15"/>
      <c r="O125" s="15"/>
      <c r="P125" s="15"/>
      <c r="Q125" s="15"/>
      <c r="R125" s="15"/>
      <c r="S125" s="16" t="n">
        <f aca="false">IFERROR(K125*460+L125*-560,0)</f>
        <v>0</v>
      </c>
    </row>
    <row r="126" customFormat="false" ht="19.5" hidden="false" customHeight="true" outlineLevel="0" collapsed="false">
      <c r="A126" s="17" t="s">
        <v>144</v>
      </c>
      <c r="B126" s="18" t="s">
        <v>28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20" t="n">
        <f aca="false">IFERROR(C126*460+D126*-560,0)+IFERROR(K126*460+L126*-560,0)</f>
        <v>0</v>
      </c>
    </row>
    <row r="127" customFormat="false" ht="19.5" hidden="false" customHeight="true" outlineLevel="0" collapsed="false">
      <c r="A127" s="17" t="s">
        <v>145</v>
      </c>
      <c r="B127" s="18" t="s">
        <v>17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20" t="n">
        <f aca="false">IFERROR(C127*460+D127*-560,0)+IFERROR(K127*460+L127*-560,0)</f>
        <v>0</v>
      </c>
    </row>
    <row r="128" customFormat="false" ht="19.5" hidden="false" customHeight="true" outlineLevel="0" collapsed="false">
      <c r="A128" s="17" t="s">
        <v>146</v>
      </c>
      <c r="B128" s="18" t="s">
        <v>19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20" t="n">
        <f aca="false">IFERROR(C128*460+D128*-560,0)+IFERROR(K128*460+L128*-560,0)</f>
        <v>0</v>
      </c>
    </row>
    <row r="129" customFormat="false" ht="19.5" hidden="false" customHeight="true" outlineLevel="0" collapsed="false">
      <c r="A129" s="17" t="s">
        <v>147</v>
      </c>
      <c r="B129" s="18" t="s">
        <v>21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20" t="n">
        <f aca="false">IFERROR(C129*460+D129*-560,0)+IFERROR(K129*460+L129*-560,0)</f>
        <v>0</v>
      </c>
    </row>
    <row r="130" customFormat="false" ht="19.5" hidden="false" customHeight="true" outlineLevel="0" collapsed="false">
      <c r="A130" s="17" t="s">
        <v>148</v>
      </c>
      <c r="B130" s="18" t="s">
        <v>23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20" t="n">
        <f aca="false">IFERROR(C130*460+D130*-560,0)+IFERROR(K130*460+L130*-560,0)</f>
        <v>0</v>
      </c>
    </row>
    <row r="131" customFormat="false" ht="19.5" hidden="false" customHeight="true" outlineLevel="0" collapsed="false">
      <c r="A131" s="12" t="s">
        <v>149</v>
      </c>
      <c r="B131" s="13" t="s">
        <v>25</v>
      </c>
      <c r="C131" s="14" t="s">
        <v>26</v>
      </c>
      <c r="D131" s="14" t="s">
        <v>26</v>
      </c>
      <c r="E131" s="14" t="s">
        <v>26</v>
      </c>
      <c r="F131" s="14" t="s">
        <v>26</v>
      </c>
      <c r="G131" s="14" t="s">
        <v>26</v>
      </c>
      <c r="H131" s="14" t="s">
        <v>26</v>
      </c>
      <c r="I131" s="14" t="s">
        <v>26</v>
      </c>
      <c r="J131" s="14" t="s">
        <v>26</v>
      </c>
      <c r="K131" s="15"/>
      <c r="L131" s="15"/>
      <c r="M131" s="15"/>
      <c r="N131" s="15"/>
      <c r="O131" s="15"/>
      <c r="P131" s="15"/>
      <c r="Q131" s="15"/>
      <c r="R131" s="15"/>
      <c r="S131" s="16" t="n">
        <f aca="false">IFERROR(K131*460+L131*-560,0)</f>
        <v>0</v>
      </c>
    </row>
    <row r="132" customFormat="false" ht="19.5" hidden="false" customHeight="true" outlineLevel="0" collapsed="false">
      <c r="A132" s="17" t="s">
        <v>150</v>
      </c>
      <c r="B132" s="18" t="s">
        <v>28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20" t="n">
        <f aca="false">IFERROR(C132*460+D132*-560,0)+IFERROR(K132*460+L132*-560,0)</f>
        <v>0</v>
      </c>
    </row>
    <row r="133" customFormat="false" ht="19.5" hidden="false" customHeight="true" outlineLevel="0" collapsed="false">
      <c r="A133" s="17" t="s">
        <v>151</v>
      </c>
      <c r="B133" s="18" t="s">
        <v>17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20" t="n">
        <f aca="false">IFERROR(C133*460+D133*-560,0)+IFERROR(K133*460+L133*-560,0)</f>
        <v>0</v>
      </c>
    </row>
    <row r="134" customFormat="false" ht="19.5" hidden="false" customHeight="true" outlineLevel="0" collapsed="false">
      <c r="A134" s="17" t="s">
        <v>152</v>
      </c>
      <c r="B134" s="18" t="s">
        <v>19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20" t="n">
        <f aca="false">IFERROR(C134*460+D134*-560,0)+IFERROR(K134*460+L134*-560,0)</f>
        <v>0</v>
      </c>
    </row>
    <row r="135" customFormat="false" ht="19.5" hidden="false" customHeight="true" outlineLevel="0" collapsed="false">
      <c r="A135" s="17" t="s">
        <v>153</v>
      </c>
      <c r="B135" s="18" t="s">
        <v>21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20" t="n">
        <f aca="false">IFERROR(C135*460+D135*-560,0)+IFERROR(K135*460+L135*-560,0)</f>
        <v>0</v>
      </c>
    </row>
    <row r="136" customFormat="false" ht="19.5" hidden="false" customHeight="true" outlineLevel="0" collapsed="false">
      <c r="A136" s="17" t="s">
        <v>154</v>
      </c>
      <c r="B136" s="18" t="s">
        <v>23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20" t="n">
        <f aca="false">IFERROR(C136*460+D136*-560,0)+IFERROR(K136*460+L136*-560,0)</f>
        <v>0</v>
      </c>
    </row>
    <row r="137" customFormat="false" ht="19.5" hidden="false" customHeight="true" outlineLevel="0" collapsed="false">
      <c r="A137" s="12" t="s">
        <v>155</v>
      </c>
      <c r="B137" s="13" t="s">
        <v>25</v>
      </c>
      <c r="C137" s="14" t="s">
        <v>26</v>
      </c>
      <c r="D137" s="14" t="s">
        <v>26</v>
      </c>
      <c r="E137" s="14" t="s">
        <v>26</v>
      </c>
      <c r="F137" s="14" t="s">
        <v>26</v>
      </c>
      <c r="G137" s="14" t="s">
        <v>26</v>
      </c>
      <c r="H137" s="14" t="s">
        <v>26</v>
      </c>
      <c r="I137" s="14" t="s">
        <v>26</v>
      </c>
      <c r="J137" s="14" t="s">
        <v>26</v>
      </c>
      <c r="K137" s="15"/>
      <c r="L137" s="15"/>
      <c r="M137" s="15"/>
      <c r="N137" s="15"/>
      <c r="O137" s="15"/>
      <c r="P137" s="15"/>
      <c r="Q137" s="15"/>
      <c r="R137" s="15"/>
      <c r="S137" s="16" t="n">
        <f aca="false">IFERROR(K137*460+L137*-560,0)</f>
        <v>0</v>
      </c>
    </row>
    <row r="138" customFormat="false" ht="19.5" hidden="false" customHeight="true" outlineLevel="0" collapsed="false">
      <c r="A138" s="17" t="s">
        <v>156</v>
      </c>
      <c r="B138" s="18" t="s">
        <v>28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20" t="n">
        <f aca="false">IFERROR(C138*460+D138*-560,0)+IFERROR(K138*460+L138*-560,0)</f>
        <v>0</v>
      </c>
    </row>
    <row r="139" customFormat="false" ht="19.5" hidden="false" customHeight="true" outlineLevel="0" collapsed="false">
      <c r="A139" s="17" t="s">
        <v>157</v>
      </c>
      <c r="B139" s="18" t="s">
        <v>17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20" t="n">
        <f aca="false">IFERROR(C139*460+D139*-560,0)+IFERROR(K139*460+L139*-560,0)</f>
        <v>0</v>
      </c>
    </row>
    <row r="140" customFormat="false" ht="19.5" hidden="false" customHeight="true" outlineLevel="0" collapsed="false">
      <c r="A140" s="17" t="s">
        <v>158</v>
      </c>
      <c r="B140" s="18" t="s">
        <v>19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20" t="n">
        <f aca="false">IFERROR(C140*460+D140*-560,0)+IFERROR(K140*460+L140*-560,0)</f>
        <v>0</v>
      </c>
    </row>
    <row r="141" customFormat="false" ht="19.5" hidden="false" customHeight="true" outlineLevel="0" collapsed="false">
      <c r="A141" s="17" t="s">
        <v>159</v>
      </c>
      <c r="B141" s="18" t="s">
        <v>21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20" t="n">
        <f aca="false">IFERROR(C141*460+D141*-560,0)+IFERROR(K141*460+L141*-560,0)</f>
        <v>0</v>
      </c>
    </row>
    <row r="142" customFormat="false" ht="19.5" hidden="false" customHeight="true" outlineLevel="0" collapsed="false">
      <c r="A142" s="17" t="s">
        <v>160</v>
      </c>
      <c r="B142" s="18" t="s">
        <v>23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20" t="n">
        <f aca="false">IFERROR(C142*460+D142*-560,0)+IFERROR(K142*460+L142*-560,0)</f>
        <v>0</v>
      </c>
    </row>
    <row r="143" customFormat="false" ht="19.5" hidden="false" customHeight="true" outlineLevel="0" collapsed="false">
      <c r="A143" s="12" t="s">
        <v>161</v>
      </c>
      <c r="B143" s="13" t="s">
        <v>25</v>
      </c>
      <c r="C143" s="14" t="s">
        <v>26</v>
      </c>
      <c r="D143" s="14" t="s">
        <v>26</v>
      </c>
      <c r="E143" s="14" t="s">
        <v>26</v>
      </c>
      <c r="F143" s="14" t="s">
        <v>26</v>
      </c>
      <c r="G143" s="14" t="s">
        <v>26</v>
      </c>
      <c r="H143" s="14" t="s">
        <v>26</v>
      </c>
      <c r="I143" s="14" t="s">
        <v>26</v>
      </c>
      <c r="J143" s="14" t="s">
        <v>26</v>
      </c>
      <c r="K143" s="15"/>
      <c r="L143" s="15"/>
      <c r="M143" s="15"/>
      <c r="N143" s="15"/>
      <c r="O143" s="15"/>
      <c r="P143" s="15"/>
      <c r="Q143" s="15"/>
      <c r="R143" s="15"/>
      <c r="S143" s="16" t="n">
        <f aca="false">IFERROR(K143*460+L143*-560,0)</f>
        <v>0</v>
      </c>
    </row>
    <row r="144" customFormat="false" ht="19.5" hidden="false" customHeight="true" outlineLevel="0" collapsed="false">
      <c r="A144" s="17" t="s">
        <v>162</v>
      </c>
      <c r="B144" s="18" t="s">
        <v>28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20" t="n">
        <f aca="false">IFERROR(C144*460+D144*-560,0)+IFERROR(K144*460+L144*-560,0)</f>
        <v>0</v>
      </c>
    </row>
    <row r="145" customFormat="false" ht="19.5" hidden="false" customHeight="true" outlineLevel="0" collapsed="false">
      <c r="A145" s="17" t="s">
        <v>163</v>
      </c>
      <c r="B145" s="18" t="s">
        <v>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20" t="n">
        <f aca="false">IFERROR(C145*460+D145*-560,0)+IFERROR(K145*460+L145*-560,0)</f>
        <v>0</v>
      </c>
    </row>
    <row r="146" customFormat="false" ht="19.5" hidden="false" customHeight="true" outlineLevel="0" collapsed="false">
      <c r="A146" s="17" t="s">
        <v>164</v>
      </c>
      <c r="B146" s="18" t="s">
        <v>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20" t="n">
        <f aca="false">IFERROR(C146*460+D146*-560,0)+IFERROR(K146*460+L146*-560,0)</f>
        <v>0</v>
      </c>
    </row>
    <row r="147" customFormat="false" ht="19.5" hidden="false" customHeight="true" outlineLevel="0" collapsed="false">
      <c r="A147" s="17" t="s">
        <v>165</v>
      </c>
      <c r="B147" s="18" t="s">
        <v>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20" t="n">
        <f aca="false">IFERROR(C147*460+D147*-560,0)+IFERROR(K147*460+L147*-560,0)</f>
        <v>0</v>
      </c>
    </row>
    <row r="148" customFormat="false" ht="19.5" hidden="false" customHeight="true" outlineLevel="0" collapsed="false">
      <c r="A148" s="17" t="s">
        <v>166</v>
      </c>
      <c r="B148" s="18" t="s">
        <v>23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20" t="n">
        <f aca="false">IFERROR(C148*460+D148*-560,0)+IFERROR(K148*460+L148*-560,0)</f>
        <v>0</v>
      </c>
    </row>
    <row r="149" customFormat="false" ht="19.5" hidden="false" customHeight="true" outlineLevel="0" collapsed="false">
      <c r="A149" s="12" t="s">
        <v>167</v>
      </c>
      <c r="B149" s="13" t="s">
        <v>25</v>
      </c>
      <c r="C149" s="14" t="s">
        <v>26</v>
      </c>
      <c r="D149" s="14" t="s">
        <v>26</v>
      </c>
      <c r="E149" s="14" t="s">
        <v>26</v>
      </c>
      <c r="F149" s="14" t="s">
        <v>26</v>
      </c>
      <c r="G149" s="14" t="s">
        <v>26</v>
      </c>
      <c r="H149" s="14" t="s">
        <v>26</v>
      </c>
      <c r="I149" s="14" t="s">
        <v>26</v>
      </c>
      <c r="J149" s="14" t="s">
        <v>26</v>
      </c>
      <c r="K149" s="15"/>
      <c r="L149" s="15"/>
      <c r="M149" s="15"/>
      <c r="N149" s="15"/>
      <c r="O149" s="15"/>
      <c r="P149" s="15"/>
      <c r="Q149" s="15"/>
      <c r="R149" s="15"/>
      <c r="S149" s="16" t="n">
        <f aca="false">IFERROR(K149*460+L149*-560,0)</f>
        <v>0</v>
      </c>
    </row>
    <row r="150" customFormat="false" ht="19.5" hidden="false" customHeight="true" outlineLevel="0" collapsed="false">
      <c r="A150" s="17" t="s">
        <v>168</v>
      </c>
      <c r="B150" s="18" t="s">
        <v>28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20" t="n">
        <f aca="false">IFERROR(C150*460+D150*-560,0)+IFERROR(K150*460+L150*-560,0)</f>
        <v>0</v>
      </c>
    </row>
    <row r="151" customFormat="false" ht="19.5" hidden="false" customHeight="true" outlineLevel="0" collapsed="false">
      <c r="A151" s="17" t="s">
        <v>169</v>
      </c>
      <c r="B151" s="18" t="s">
        <v>17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20" t="n">
        <f aca="false">IFERROR(C151*460+D151*-560,0)+IFERROR(K151*460+L151*-560,0)</f>
        <v>0</v>
      </c>
    </row>
    <row r="152" customFormat="false" ht="19.5" hidden="false" customHeight="true" outlineLevel="0" collapsed="false">
      <c r="A152" s="8" t="s">
        <v>170</v>
      </c>
      <c r="B152" s="9" t="s">
        <v>19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1" t="n">
        <f aca="false">IFERROR(C152*460+D152*-560,0)+IFERROR(K152*460+L152*-560,0)</f>
        <v>0</v>
      </c>
    </row>
    <row r="153" customFormat="false" ht="19.5" hidden="false" customHeight="true" outlineLevel="0" collapsed="false">
      <c r="A153" s="8" t="s">
        <v>171</v>
      </c>
      <c r="B153" s="9" t="s">
        <v>21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1" t="n">
        <f aca="false">IFERROR(C153*460+D153*-560,0)+IFERROR(K153*460+L153*-560,0)</f>
        <v>0</v>
      </c>
    </row>
    <row r="154" customFormat="false" ht="19.5" hidden="false" customHeight="true" outlineLevel="0" collapsed="false">
      <c r="A154" s="12" t="s">
        <v>172</v>
      </c>
      <c r="B154" s="13" t="s">
        <v>25</v>
      </c>
      <c r="C154" s="14" t="s">
        <v>26</v>
      </c>
      <c r="D154" s="14" t="s">
        <v>26</v>
      </c>
      <c r="E154" s="14" t="s">
        <v>26</v>
      </c>
      <c r="F154" s="14" t="s">
        <v>26</v>
      </c>
      <c r="G154" s="14" t="s">
        <v>26</v>
      </c>
      <c r="H154" s="14" t="s">
        <v>26</v>
      </c>
      <c r="I154" s="14" t="s">
        <v>26</v>
      </c>
      <c r="J154" s="14" t="s">
        <v>26</v>
      </c>
      <c r="K154" s="15"/>
      <c r="L154" s="15"/>
      <c r="M154" s="15"/>
      <c r="N154" s="15"/>
      <c r="O154" s="15"/>
      <c r="P154" s="15"/>
      <c r="Q154" s="15"/>
      <c r="R154" s="15"/>
      <c r="S154" s="16" t="n">
        <f aca="false">IFERROR(K154*460+L154*-560,0)</f>
        <v>0</v>
      </c>
    </row>
    <row r="155" customFormat="false" ht="19.5" hidden="false" customHeight="true" outlineLevel="0" collapsed="false">
      <c r="A155" s="8" t="s">
        <v>173</v>
      </c>
      <c r="B155" s="9" t="s">
        <v>28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1" t="n">
        <f aca="false">IFERROR(C155*460+D155*-560,0)+IFERROR(K155*460+L155*-560,0)</f>
        <v>0</v>
      </c>
    </row>
    <row r="156" customFormat="false" ht="19.5" hidden="false" customHeight="true" outlineLevel="0" collapsed="false">
      <c r="A156" s="8" t="s">
        <v>174</v>
      </c>
      <c r="B156" s="9" t="s">
        <v>17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1" t="n">
        <f aca="false">IFERROR(C156*460+D156*-560,0)+IFERROR(K156*460+L156*-560,0)</f>
        <v>0</v>
      </c>
    </row>
    <row r="157" customFormat="false" ht="19.5" hidden="false" customHeight="true" outlineLevel="0" collapsed="false">
      <c r="A157" s="8" t="s">
        <v>175</v>
      </c>
      <c r="B157" s="9" t="s">
        <v>19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1" t="n">
        <f aca="false">IFERROR(C157*460+D157*-560,0)+IFERROR(K157*460+L157*-560,0)</f>
        <v>0</v>
      </c>
    </row>
    <row r="158" customFormat="false" ht="19.5" hidden="false" customHeight="true" outlineLevel="0" collapsed="false">
      <c r="A158" s="8" t="s">
        <v>176</v>
      </c>
      <c r="B158" s="9" t="s">
        <v>21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1" t="n">
        <f aca="false">IFERROR(C158*460+D158*-560,0)+IFERROR(K158*460+L158*-560,0)</f>
        <v>0</v>
      </c>
    </row>
    <row r="159" customFormat="false" ht="19.5" hidden="false" customHeight="true" outlineLevel="0" collapsed="false">
      <c r="A159" s="8" t="s">
        <v>177</v>
      </c>
      <c r="B159" s="9" t="s">
        <v>23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1" t="n">
        <f aca="false">IFERROR(C159*460+D159*-560,0)+IFERROR(K159*460+L159*-560,0)</f>
        <v>0</v>
      </c>
    </row>
    <row r="160" customFormat="false" ht="24" hidden="false" customHeight="true" outlineLevel="0" collapsed="false">
      <c r="A160" s="21" t="s">
        <v>178</v>
      </c>
      <c r="B160" s="21"/>
      <c r="C160" s="22" t="n">
        <f aca="false">SUM(C5:C159)</f>
        <v>0</v>
      </c>
      <c r="D160" s="22" t="n">
        <f aca="false">SUM(D5:D159)</f>
        <v>0</v>
      </c>
      <c r="E160" s="22" t="n">
        <f aca="false">SUM(E5:E159)</f>
        <v>0</v>
      </c>
      <c r="F160" s="22" t="n">
        <f aca="false">SUM(F5:F159)</f>
        <v>0</v>
      </c>
      <c r="G160" s="22" t="n">
        <f aca="false">SUM(G5:G159)</f>
        <v>0</v>
      </c>
      <c r="H160" s="22" t="n">
        <f aca="false">SUM(H5:H159)</f>
        <v>0</v>
      </c>
      <c r="K160" s="22" t="n">
        <f aca="false">SUM(K5:K159)</f>
        <v>0</v>
      </c>
      <c r="L160" s="22" t="n">
        <f aca="false">SUM(L5:L159)</f>
        <v>0</v>
      </c>
      <c r="M160" s="22" t="n">
        <f aca="false">SUM(M5:M159)</f>
        <v>0</v>
      </c>
      <c r="N160" s="22" t="n">
        <f aca="false">SUM(N5:N159)</f>
        <v>0</v>
      </c>
      <c r="O160" s="22" t="n">
        <f aca="false">SUM(O5:O159)</f>
        <v>0</v>
      </c>
      <c r="P160" s="22" t="n">
        <f aca="false">SUM(P5:P159)</f>
        <v>0</v>
      </c>
      <c r="Q160" s="22" t="n">
        <f aca="false">SUM(Q5:Q159)</f>
        <v>0</v>
      </c>
      <c r="S160" s="23" t="n">
        <f aca="false">SUM(S5:S159)</f>
        <v>0</v>
      </c>
    </row>
  </sheetData>
  <mergeCells count="7">
    <mergeCell ref="A1:S1"/>
    <mergeCell ref="A2:B2"/>
    <mergeCell ref="C2:J2"/>
    <mergeCell ref="K2:R2"/>
    <mergeCell ref="S2:S3"/>
    <mergeCell ref="A4:S4"/>
    <mergeCell ref="A160:B1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31.5" hidden="false" customHeight="true" outlineLevel="0" collapsed="false">
      <c r="A1" s="1" t="s">
        <v>179</v>
      </c>
      <c r="B1" s="1"/>
      <c r="C1" s="1"/>
      <c r="D1" s="1"/>
    </row>
    <row r="2" customFormat="false" ht="24" hidden="false" customHeight="true" outlineLevel="0" collapsed="false">
      <c r="A2" s="24" t="s">
        <v>180</v>
      </c>
      <c r="B2" s="25" t="s">
        <v>181</v>
      </c>
      <c r="C2" s="26" t="s">
        <v>182</v>
      </c>
      <c r="D2" s="5" t="s">
        <v>183</v>
      </c>
    </row>
    <row r="3" customFormat="false" ht="19.5" hidden="false" customHeight="true" outlineLevel="0" collapsed="false">
      <c r="A3" s="27" t="s">
        <v>184</v>
      </c>
      <c r="B3" s="27"/>
      <c r="C3" s="27"/>
      <c r="D3" s="27"/>
    </row>
    <row r="4" customFormat="false" ht="21.75" hidden="false" customHeight="true" outlineLevel="0" collapsed="false">
      <c r="A4" s="28" t="s">
        <v>185</v>
      </c>
      <c r="B4" s="10" t="n">
        <f aca="false">SUM('Trade Log'!C5:C159)+SUM('Trade Log'!D5:D159)</f>
        <v>0</v>
      </c>
      <c r="C4" s="10" t="n">
        <f aca="false">SUM('Trade Log'!K5:K159)+SUM('Trade Log'!L5:L159)</f>
        <v>0</v>
      </c>
      <c r="D4" s="29" t="n">
        <f aca="false">B4+C4</f>
        <v>0</v>
      </c>
    </row>
    <row r="5" customFormat="false" ht="21.75" hidden="false" customHeight="true" outlineLevel="0" collapsed="false">
      <c r="A5" s="28" t="s">
        <v>186</v>
      </c>
      <c r="B5" s="10" t="n">
        <f aca="false">SUM('Trade Log'!C5:C159)</f>
        <v>0</v>
      </c>
      <c r="C5" s="10" t="n">
        <f aca="false">SUM('Trade Log'!K5:K159)</f>
        <v>0</v>
      </c>
      <c r="D5" s="29" t="n">
        <f aca="false">B5+C5</f>
        <v>0</v>
      </c>
    </row>
    <row r="6" customFormat="false" ht="21.75" hidden="false" customHeight="true" outlineLevel="0" collapsed="false">
      <c r="A6" s="28" t="s">
        <v>187</v>
      </c>
      <c r="B6" s="10" t="n">
        <f aca="false">SUM('Trade Log'!D5:D159)</f>
        <v>0</v>
      </c>
      <c r="C6" s="10" t="n">
        <f aca="false">SUM('Trade Log'!L5:L159)</f>
        <v>0</v>
      </c>
      <c r="D6" s="29" t="n">
        <f aca="false">B6+C6</f>
        <v>0</v>
      </c>
    </row>
    <row r="7" customFormat="false" ht="21.75" hidden="false" customHeight="true" outlineLevel="0" collapsed="false">
      <c r="A7" s="28" t="s">
        <v>188</v>
      </c>
      <c r="B7" s="30" t="n">
        <f aca="false">IFERROR(B5/B4,0)</f>
        <v>0</v>
      </c>
      <c r="C7" s="30" t="n">
        <f aca="false">IFERROR(C5/C4,0)</f>
        <v>0</v>
      </c>
      <c r="D7" s="31" t="n">
        <f aca="false">IFERROR(D5/D4,0)</f>
        <v>0</v>
      </c>
    </row>
    <row r="8" customFormat="false" ht="21.75" hidden="false" customHeight="true" outlineLevel="0" collapsed="false">
      <c r="A8" s="28" t="s">
        <v>189</v>
      </c>
      <c r="B8" s="11" t="n">
        <f aca="false">SUM('Trade Log'!C5:C159)*460+SUM('Trade Log'!D5:D159)*-560</f>
        <v>0</v>
      </c>
      <c r="C8" s="11" t="n">
        <f aca="false">SUM('Trade Log'!K5:K159)*460+SUM('Trade Log'!L5:L159)*-560</f>
        <v>0</v>
      </c>
      <c r="D8" s="32" t="n">
        <f aca="false">SUM('Trade Log'!S5:S159)</f>
        <v>0</v>
      </c>
    </row>
    <row r="9" customFormat="false" ht="21.75" hidden="false" customHeight="true" outlineLevel="0" collapsed="false">
      <c r="A9" s="28" t="s">
        <v>190</v>
      </c>
      <c r="B9" s="10" t="n">
        <f aca="false">IFERROR((B5*460)/(B6*560),0)</f>
        <v>0</v>
      </c>
      <c r="C9" s="10" t="n">
        <f aca="false">IFERROR((C5*460)/(C6*560),0)</f>
        <v>0</v>
      </c>
      <c r="D9" s="29" t="n">
        <f aca="false">IFERROR((D5*460)/(D6*560),0)</f>
        <v>0</v>
      </c>
    </row>
    <row r="10" customFormat="false" ht="21.75" hidden="false" customHeight="true" outlineLevel="0" collapsed="false">
      <c r="A10" s="28" t="s">
        <v>191</v>
      </c>
      <c r="B10" s="11" t="n">
        <f aca="false">IFERROR(B8/B4,0)</f>
        <v>0</v>
      </c>
      <c r="C10" s="11" t="n">
        <f aca="false">IFERROR(C8/C4,0)</f>
        <v>0</v>
      </c>
      <c r="D10" s="32" t="n">
        <f aca="false">IFERROR(D8/D4,0)</f>
        <v>0</v>
      </c>
    </row>
    <row r="11" customFormat="false" ht="19.5" hidden="false" customHeight="true" outlineLevel="0" collapsed="false">
      <c r="A11" s="27" t="s">
        <v>192</v>
      </c>
      <c r="B11" s="27"/>
      <c r="C11" s="27"/>
      <c r="D11" s="27"/>
    </row>
    <row r="12" customFormat="false" ht="21.75" hidden="false" customHeight="true" outlineLevel="0" collapsed="false">
      <c r="A12" s="28" t="s">
        <v>193</v>
      </c>
      <c r="B12" s="10" t="n">
        <f aca="false">SUM('Trade Log'!E5:E159)</f>
        <v>0</v>
      </c>
      <c r="C12" s="10" t="n">
        <f aca="false">SUM('Trade Log'!M5:M159)</f>
        <v>0</v>
      </c>
      <c r="D12" s="29" t="n">
        <f aca="false">B12+C12</f>
        <v>0</v>
      </c>
    </row>
    <row r="13" customFormat="false" ht="21.75" hidden="false" customHeight="true" outlineLevel="0" collapsed="false">
      <c r="A13" s="28" t="s">
        <v>194</v>
      </c>
      <c r="B13" s="10" t="n">
        <f aca="false">SUM('Trade Log'!F5:F159)</f>
        <v>0</v>
      </c>
      <c r="C13" s="10" t="n">
        <f aca="false">SUM('Trade Log'!N5:N159)</f>
        <v>0</v>
      </c>
      <c r="D13" s="29" t="n">
        <f aca="false">B13+C13</f>
        <v>0</v>
      </c>
    </row>
    <row r="14" customFormat="false" ht="21.75" hidden="false" customHeight="true" outlineLevel="0" collapsed="false">
      <c r="A14" s="28" t="s">
        <v>195</v>
      </c>
      <c r="B14" s="30" t="n">
        <f aca="false">IFERROR(B12/(B12+B13),0)</f>
        <v>0</v>
      </c>
      <c r="C14" s="30" t="n">
        <f aca="false">IFERROR(C12/(C12+C13),0)</f>
        <v>0</v>
      </c>
      <c r="D14" s="31" t="n">
        <f aca="false">IFERROR(D12/(D12+D13),0)</f>
        <v>0</v>
      </c>
    </row>
    <row r="15" customFormat="false" ht="19.5" hidden="false" customHeight="true" outlineLevel="0" collapsed="false">
      <c r="A15" s="27" t="s">
        <v>196</v>
      </c>
      <c r="B15" s="27"/>
      <c r="C15" s="27"/>
      <c r="D15" s="27"/>
    </row>
    <row r="16" customFormat="false" ht="21.75" hidden="false" customHeight="true" outlineLevel="0" collapsed="false">
      <c r="A16" s="28" t="s">
        <v>197</v>
      </c>
      <c r="B16" s="10" t="n">
        <f aca="false">SUM('Trade Log'!G5:G159)</f>
        <v>0</v>
      </c>
      <c r="C16" s="10" t="n">
        <f aca="false">SUM('Trade Log'!O5:O159)</f>
        <v>0</v>
      </c>
      <c r="D16" s="29" t="n">
        <f aca="false">B16+C16</f>
        <v>0</v>
      </c>
    </row>
    <row r="17" customFormat="false" ht="21.75" hidden="false" customHeight="true" outlineLevel="0" collapsed="false">
      <c r="A17" s="28" t="s">
        <v>198</v>
      </c>
      <c r="B17" s="10" t="n">
        <f aca="false">SUM('Trade Log'!H5:H159)</f>
        <v>0</v>
      </c>
      <c r="C17" s="10" t="n">
        <f aca="false">SUM('Trade Log'!P5:P159)</f>
        <v>0</v>
      </c>
      <c r="D17" s="29" t="n">
        <f aca="false">B17+C17</f>
        <v>0</v>
      </c>
    </row>
    <row r="18" customFormat="false" ht="21.75" hidden="false" customHeight="true" outlineLevel="0" collapsed="false">
      <c r="A18" s="28" t="s">
        <v>199</v>
      </c>
      <c r="B18" s="30" t="n">
        <f aca="false">IFERROR(B16/(B16+B17),0)</f>
        <v>0</v>
      </c>
      <c r="C18" s="30" t="n">
        <f aca="false">IFERROR(C16/(C16+C17),0)</f>
        <v>0</v>
      </c>
      <c r="D18" s="31" t="n">
        <f aca="false">IFERROR(D16/(D16+D17),0)</f>
        <v>0</v>
      </c>
    </row>
    <row r="19" customFormat="false" ht="19.5" hidden="false" customHeight="true" outlineLevel="0" collapsed="false">
      <c r="A19" s="27" t="s">
        <v>200</v>
      </c>
      <c r="B19" s="27"/>
      <c r="C19" s="27"/>
      <c r="D19" s="27"/>
    </row>
    <row r="20" customFormat="false" ht="21.75" hidden="false" customHeight="true" outlineLevel="0" collapsed="false">
      <c r="A20" s="28" t="s">
        <v>201</v>
      </c>
      <c r="B20" s="10" t="n">
        <f aca="false">SUM('Trade Log'!I5:I159)</f>
        <v>0</v>
      </c>
      <c r="C20" s="10" t="n">
        <f aca="false">SUM('Trade Log'!Q5:Q159)</f>
        <v>0</v>
      </c>
      <c r="D20" s="29" t="n">
        <f aca="false">B20+C20</f>
        <v>0</v>
      </c>
    </row>
  </sheetData>
  <mergeCells count="5">
    <mergeCell ref="A1:D1"/>
    <mergeCell ref="A3:D3"/>
    <mergeCell ref="A11:D11"/>
    <mergeCell ref="A15:D15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2026-07-11T06:45:19Z</dcterms:created>
  <dc:creator>openpyxl</dc:creator>
  <dc:description/>
  <dc:language>en-US</dc:language>
  <cp:lastModifiedBy/>
  <dcterms:modified xsi:type="dcterms:W3CDTF">2026-07-11T06:45:19Z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