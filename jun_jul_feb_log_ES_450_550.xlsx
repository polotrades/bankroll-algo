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b–Jul 2026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[RED]&quot;-$&quot;#,##0"/>
    <numFmt numFmtId="165" formatCode="\$#,##0;&quot;-$&quot;#,##0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666666"/>
      <sz val="8"/>
    </font>
    <font>
      <name val="Arial"/>
      <charset val="1"/>
      <family val="0"/>
      <b val="1"/>
      <color rgb="FF534AB7"/>
      <sz val="9"/>
    </font>
    <font>
      <name val="Arial"/>
      <charset val="1"/>
      <family val="0"/>
      <b val="1"/>
      <color rgb="FF1D9E75"/>
      <sz val="9"/>
    </font>
    <font>
      <name val="Arial"/>
      <charset val="1"/>
      <family val="0"/>
      <b val="1"/>
      <color rgb="FFE6A02D"/>
      <sz val="9"/>
    </font>
    <font>
      <name val="Arial"/>
      <charset val="1"/>
      <family val="0"/>
      <b val="1"/>
      <color rgb="FF666666"/>
      <sz val="7"/>
    </font>
    <font>
      <name val="Cambria"/>
      <charset val="1"/>
      <family val="0"/>
      <b val="1"/>
      <sz val="9"/>
    </font>
    <font>
      <name val="Arial"/>
      <charset val="1"/>
      <family val="0"/>
      <color rgb="FF666666"/>
      <sz val="7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7B74D6"/>
      <sz val="10"/>
    </font>
    <font>
      <name val="Arial"/>
      <charset val="1"/>
      <family val="0"/>
      <b val="1"/>
      <color rgb="FF534AB7"/>
      <sz val="10"/>
    </font>
    <font>
      <name val="Arial"/>
      <charset val="1"/>
      <family val="0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141414"/>
      </patternFill>
    </fill>
    <fill>
      <patternFill patternType="solid">
        <fgColor rgb="FF141414"/>
        <bgColor rgb="FF0E0E0E"/>
      </patternFill>
    </fill>
    <fill>
      <patternFill patternType="solid">
        <fgColor rgb="FF1C1057"/>
        <bgColor rgb="FF14141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9" fontId="17" fillId="5" borderId="0" applyAlignment="1" pivotButton="0" quotePrefix="0" xfId="0">
      <alignment horizontal="center" vertical="bottom"/>
    </xf>
    <xf numFmtId="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0" borderId="0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9" fontId="17" fillId="5" borderId="0" applyAlignment="1" pivotButton="0" quotePrefix="0" xfId="0">
      <alignment horizontal="center" vertical="bottom"/>
    </xf>
    <xf numFmtId="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003366"/>
      <rgbColor rgb="FF1D9E75"/>
      <rgbColor rgb="FF141414"/>
      <rgbColor rgb="FF0E0E0E"/>
      <rgbColor rgb="FF993300"/>
      <rgbColor rgb="FF993366"/>
      <rgbColor rgb="FF534AB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0" min="1" max="1"/>
    <col width="7" customWidth="1" style="20" min="2" max="2"/>
    <col width="5" customWidth="1" style="20" min="3" max="3"/>
    <col width="5" customWidth="1" style="20" min="4" max="9"/>
    <col width="5" customWidth="1" style="21" min="5" max="5"/>
    <col width="5" customWidth="1" style="21" min="6" max="6"/>
    <col width="5" customWidth="1" style="21" min="7" max="7"/>
    <col width="5" customWidth="1" style="21" min="8" max="8"/>
    <col width="5" customWidth="1" style="21" min="9" max="9"/>
    <col width="8" customWidth="1" style="20" min="10" max="10"/>
    <col width="5" customWidth="1" style="20" min="11" max="11"/>
    <col width="5" customWidth="1" style="20" min="12" max="17"/>
    <col width="5" customWidth="1" style="21" min="13" max="13"/>
    <col width="5" customWidth="1" style="21" min="14" max="14"/>
    <col width="5" customWidth="1" style="21" min="15" max="15"/>
    <col width="5" customWidth="1" style="21" min="16" max="16"/>
    <col width="5" customWidth="1" style="21" min="17" max="17"/>
    <col width="8" customWidth="1" style="20" min="18" max="18"/>
    <col width="11" customWidth="1" style="20" min="19" max="19"/>
    <col width="9" customWidth="1" style="20" min="20" max="20"/>
  </cols>
  <sheetData>
    <row r="1" ht="15.75" customHeight="1" s="21">
      <c r="A1" s="22" t="inlineStr">
        <is>
          <t>THE REBOUND  —  ES FUTURES  |  WIN $450 / LOSS $550  |  FEB–JUL 2026</t>
        </is>
      </c>
    </row>
    <row r="2" ht="15" customHeight="1" s="21">
      <c r="A2" s="23" t="inlineStr">
        <is>
          <t>DATE / DAY</t>
        </is>
      </c>
      <c r="B2" s="24" t="n"/>
      <c r="C2" s="25" t="inlineStr">
        <is>
          <t>NY SESSION  (6:30 AM PT — weekdays only)</t>
        </is>
      </c>
      <c r="D2" s="26" t="n"/>
      <c r="E2" s="26" t="n"/>
      <c r="F2" s="26" t="n"/>
      <c r="G2" s="26" t="n"/>
      <c r="H2" s="26" t="n"/>
      <c r="I2" s="26" t="n"/>
      <c r="J2" s="24" t="n"/>
      <c r="K2" s="27" t="inlineStr">
        <is>
          <t>ASIA SESSION  (3:00 PM PT — incl. Sundays)</t>
        </is>
      </c>
      <c r="L2" s="26" t="n"/>
      <c r="M2" s="26" t="n"/>
      <c r="N2" s="26" t="n"/>
      <c r="O2" s="26" t="n"/>
      <c r="P2" s="26" t="n"/>
      <c r="Q2" s="26" t="n"/>
      <c r="R2" s="24" t="n"/>
      <c r="S2" s="28" t="inlineStr">
        <is>
          <t>DAILY P&amp;L</t>
        </is>
      </c>
    </row>
    <row r="3" ht="15" customHeight="1" s="21">
      <c r="A3" s="29" t="inlineStr">
        <is>
          <t>DATE</t>
        </is>
      </c>
      <c r="B3" s="29" t="inlineStr">
        <is>
          <t>DAY</t>
        </is>
      </c>
      <c r="C3" s="29" t="inlineStr">
        <is>
          <t>W</t>
        </is>
      </c>
      <c r="D3" s="29" t="inlineStr">
        <is>
          <t>L</t>
        </is>
      </c>
      <c r="E3" s="29" t="inlineStr">
        <is>
          <t>L✓</t>
        </is>
      </c>
      <c r="F3" s="29" t="inlineStr">
        <is>
          <t>L✗</t>
        </is>
      </c>
      <c r="G3" s="29" t="inlineStr">
        <is>
          <t>S✓</t>
        </is>
      </c>
      <c r="H3" s="29" t="inlineStr">
        <is>
          <t>S✗</t>
        </is>
      </c>
      <c r="I3" s="29" t="inlineStr">
        <is>
          <t>SKIP</t>
        </is>
      </c>
      <c r="J3" s="29" t="inlineStr">
        <is>
          <t>E/L</t>
        </is>
      </c>
      <c r="K3" s="29" t="inlineStr">
        <is>
          <t>W</t>
        </is>
      </c>
      <c r="L3" s="29" t="inlineStr">
        <is>
          <t>L</t>
        </is>
      </c>
      <c r="M3" s="29" t="inlineStr">
        <is>
          <t>L✓</t>
        </is>
      </c>
      <c r="N3" s="29" t="inlineStr">
        <is>
          <t>L✗</t>
        </is>
      </c>
      <c r="O3" s="29" t="inlineStr">
        <is>
          <t>S✓</t>
        </is>
      </c>
      <c r="P3" s="29" t="inlineStr">
        <is>
          <t>S✗</t>
        </is>
      </c>
      <c r="Q3" s="29" t="inlineStr">
        <is>
          <t>SKIP</t>
        </is>
      </c>
      <c r="R3" s="29" t="inlineStr">
        <is>
          <t>E/L</t>
        </is>
      </c>
      <c r="S3" s="30" t="n"/>
      <c r="T3" s="31" t="inlineStr">
        <is>
          <t>WIN RATE</t>
        </is>
      </c>
    </row>
    <row r="4" ht="15" customHeight="1" s="21">
      <c r="A4" s="32" t="inlineStr">
        <is>
          <t>W=Wins  L=Losses  L✓=Longs Won  L✗=Longs Lost  S✓=Shorts Won  S✗=Shorts Lost  SKIP=# skips  E/L = E(early &lt;30min) or L(late &gt;30min)   ★ SUNDAY = Asia only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4" t="n"/>
    </row>
    <row r="5" ht="15" customHeight="1" s="21">
      <c r="A5" s="33" t="inlineStr">
        <is>
          <t>Feb 2</t>
        </is>
      </c>
      <c r="B5" s="34" t="inlineStr">
        <is>
          <t>Mon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6">
        <f>IFERROR(C5*450+D5*-550,0)+IFERROR(K5*450+L5*-550,0)</f>
        <v/>
      </c>
    </row>
    <row r="6" ht="15" customHeight="1" s="21">
      <c r="A6" s="33" t="inlineStr">
        <is>
          <t>Feb 3</t>
        </is>
      </c>
      <c r="B6" s="34" t="inlineStr">
        <is>
          <t>Tue</t>
        </is>
      </c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6">
        <f>IFERROR(C6*450+D6*-550,0)+IFERROR(K6*450+L6*-550,0)</f>
        <v/>
      </c>
    </row>
    <row r="7" ht="15" customHeight="1" s="21">
      <c r="A7" s="33" t="inlineStr">
        <is>
          <t>Feb 4</t>
        </is>
      </c>
      <c r="B7" s="34" t="inlineStr">
        <is>
          <t>Wed</t>
        </is>
      </c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6">
        <f>IFERROR(C7*450+D7*-550,0)+IFERROR(K7*450+L7*-550,0)</f>
        <v/>
      </c>
    </row>
    <row r="8" ht="15" customHeight="1" s="21">
      <c r="A8" s="33" t="inlineStr">
        <is>
          <t>Feb 5</t>
        </is>
      </c>
      <c r="B8" s="34" t="inlineStr">
        <is>
          <t>Thu</t>
        </is>
      </c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6">
        <f>IFERROR(C8*450+D8*-550,0)+IFERROR(K8*450+L8*-550,0)</f>
        <v/>
      </c>
    </row>
    <row r="9" ht="15" customHeight="1" s="21">
      <c r="A9" s="33" t="inlineStr">
        <is>
          <t>Feb 6</t>
        </is>
      </c>
      <c r="B9" s="34" t="inlineStr">
        <is>
          <t>Fri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6">
        <f>IFERROR(C9*450+D9*-550,0)+IFERROR(K9*450+L9*-550,0)</f>
        <v/>
      </c>
    </row>
    <row r="10" ht="15" customHeight="1" s="21">
      <c r="A10" s="33" t="inlineStr">
        <is>
          <t>Feb 9</t>
        </is>
      </c>
      <c r="B10" s="34" t="inlineStr">
        <is>
          <t>Mon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6">
        <f>IFERROR(C10*450+D10*-550,0)+IFERROR(K10*450+L10*-550,0)</f>
        <v/>
      </c>
    </row>
    <row r="11" ht="15" customHeight="1" s="21">
      <c r="A11" s="33" t="inlineStr">
        <is>
          <t>Feb 10</t>
        </is>
      </c>
      <c r="B11" s="34" t="inlineStr">
        <is>
          <t>Tue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6">
        <f>IFERROR(C11*450+D11*-550,0)+IFERROR(K11*450+L11*-550,0)</f>
        <v/>
      </c>
    </row>
    <row r="12" ht="15" customHeight="1" s="21">
      <c r="A12" s="33" t="inlineStr">
        <is>
          <t>Feb 11</t>
        </is>
      </c>
      <c r="B12" s="34" t="inlineStr">
        <is>
          <t>Wed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6">
        <f>IFERROR(C12*450+D12*-550,0)+IFERROR(K12*450+L12*-550,0)</f>
        <v/>
      </c>
    </row>
    <row r="13" ht="15" customHeight="1" s="21">
      <c r="A13" s="33" t="inlineStr">
        <is>
          <t>Feb 12</t>
        </is>
      </c>
      <c r="B13" s="34" t="inlineStr">
        <is>
          <t>Thu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6">
        <f>IFERROR(C13*450+D13*-550,0)+IFERROR(K13*450+L13*-550,0)</f>
        <v/>
      </c>
    </row>
    <row r="14" ht="15" customHeight="1" s="21">
      <c r="A14" s="33" t="inlineStr">
        <is>
          <t>Feb 13</t>
        </is>
      </c>
      <c r="B14" s="34" t="inlineStr">
        <is>
          <t>Fri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6">
        <f>IFERROR(C14*450+D14*-550,0)+IFERROR(K14*450+L14*-550,0)</f>
        <v/>
      </c>
    </row>
    <row r="15" ht="15" customHeight="1" s="21">
      <c r="A15" s="33" t="inlineStr">
        <is>
          <t>Feb 16</t>
        </is>
      </c>
      <c r="B15" s="34" t="inlineStr">
        <is>
          <t>Mon</t>
        </is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6">
        <f>IFERROR(C15*450+D15*-550,0)+IFERROR(K15*450+L15*-550,0)</f>
        <v/>
      </c>
    </row>
    <row r="16" ht="15" customHeight="1" s="21">
      <c r="A16" s="33" t="inlineStr">
        <is>
          <t>Feb 17</t>
        </is>
      </c>
      <c r="B16" s="34" t="inlineStr">
        <is>
          <t>Tue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6">
        <f>IFERROR(C16*450+D16*-550,0)+IFERROR(K16*450+L16*-550,0)</f>
        <v/>
      </c>
    </row>
    <row r="17" ht="15" customHeight="1" s="21">
      <c r="A17" s="33" t="inlineStr">
        <is>
          <t>Feb 18</t>
        </is>
      </c>
      <c r="B17" s="34" t="inlineStr">
        <is>
          <t>Wed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6">
        <f>IFERROR(C17*450+D17*-550,0)+IFERROR(K17*450+L17*-550,0)</f>
        <v/>
      </c>
    </row>
    <row r="18" ht="15" customHeight="1" s="21">
      <c r="A18" s="33" t="inlineStr">
        <is>
          <t>Feb 19</t>
        </is>
      </c>
      <c r="B18" s="34" t="inlineStr">
        <is>
          <t>Thu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6">
        <f>IFERROR(C18*450+D18*-550,0)+IFERROR(K18*450+L18*-550,0)</f>
        <v/>
      </c>
    </row>
    <row r="19" ht="15" customHeight="1" s="21">
      <c r="A19" s="33" t="inlineStr">
        <is>
          <t>Feb 20</t>
        </is>
      </c>
      <c r="B19" s="34" t="inlineStr">
        <is>
          <t>Fri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6">
        <f>IFERROR(C19*450+D19*-550,0)+IFERROR(K19*450+L19*-550,0)</f>
        <v/>
      </c>
    </row>
    <row r="20" ht="15" customHeight="1" s="21">
      <c r="A20" s="33" t="inlineStr">
        <is>
          <t>Feb 23</t>
        </is>
      </c>
      <c r="B20" s="34" t="inlineStr">
        <is>
          <t>Mon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6">
        <f>IFERROR(C20*450+D20*-550,0)+IFERROR(K20*450+L20*-550,0)</f>
        <v/>
      </c>
    </row>
    <row r="21" ht="15" customHeight="1" s="21">
      <c r="A21" s="33" t="inlineStr">
        <is>
          <t>Feb 24</t>
        </is>
      </c>
      <c r="B21" s="34" t="inlineStr">
        <is>
          <t>Tue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6">
        <f>IFERROR(C21*450+D21*-550,0)+IFERROR(K21*450+L21*-550,0)</f>
        <v/>
      </c>
    </row>
    <row r="22" ht="15" customHeight="1" s="21">
      <c r="A22" s="33" t="inlineStr">
        <is>
          <t>Feb 25</t>
        </is>
      </c>
      <c r="B22" s="34" t="inlineStr">
        <is>
          <t>Wed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6">
        <f>IFERROR(C22*450+D22*-550,0)+IFERROR(K22*450+L22*-550,0)</f>
        <v/>
      </c>
    </row>
    <row r="23" ht="15" customHeight="1" s="21">
      <c r="A23" s="33" t="inlineStr">
        <is>
          <t>Feb 26</t>
        </is>
      </c>
      <c r="B23" s="34" t="inlineStr">
        <is>
          <t>Thu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6">
        <f>IFERROR(C23*450+D23*-550,0)+IFERROR(K23*450+L23*-550,0)</f>
        <v/>
      </c>
    </row>
    <row r="24" ht="15" customHeight="1" s="21">
      <c r="A24" s="33" t="inlineStr">
        <is>
          <t>Feb 27</t>
        </is>
      </c>
      <c r="B24" s="34" t="inlineStr">
        <is>
          <t>Fri</t>
        </is>
      </c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6">
        <f>IFERROR(C24*450+D24*-550,0)+IFERROR(K24*450+L24*-550,0)</f>
        <v/>
      </c>
    </row>
    <row r="25" ht="15" customHeight="1" s="21">
      <c r="A25" s="37" t="inlineStr">
        <is>
          <t xml:space="preserve">  ★  FEB  TOTAL</t>
        </is>
      </c>
      <c r="B25" s="38" t="n"/>
      <c r="C25" s="39">
        <f>SUM(C5:C24)</f>
        <v/>
      </c>
      <c r="D25" s="39">
        <f>SUM(D5:D24)</f>
        <v/>
      </c>
      <c r="E25" s="39">
        <f>SUM(E5:E24)</f>
        <v/>
      </c>
      <c r="F25" s="39">
        <f>SUM(F5:F24)</f>
        <v/>
      </c>
      <c r="G25" s="39">
        <f>SUM(G5:G24)</f>
        <v/>
      </c>
      <c r="H25" s="39">
        <f>SUM(H5:H24)</f>
        <v/>
      </c>
      <c r="I25" s="39">
        <f>SUM(I5:I24)</f>
        <v/>
      </c>
      <c r="J25" s="38" t="n"/>
      <c r="K25" s="39">
        <f>SUM(K5:K24)</f>
        <v/>
      </c>
      <c r="L25" s="39">
        <f>SUM(L5:L24)</f>
        <v/>
      </c>
      <c r="M25" s="39">
        <f>SUM(M5:M24)</f>
        <v/>
      </c>
      <c r="N25" s="39">
        <f>SUM(N5:N24)</f>
        <v/>
      </c>
      <c r="O25" s="39">
        <f>SUM(O5:O24)</f>
        <v/>
      </c>
      <c r="P25" s="39">
        <f>SUM(P5:P24)</f>
        <v/>
      </c>
      <c r="Q25" s="39">
        <f>SUM(Q5:Q24)</f>
        <v/>
      </c>
      <c r="R25" s="38" t="n"/>
      <c r="S25" s="40">
        <f>SUM(S5:S24)</f>
        <v/>
      </c>
      <c r="T25" s="41">
        <f>IFERROR((C25+K25)/(C25+D25+K25+L25),0)</f>
        <v/>
      </c>
    </row>
    <row r="26" ht="15" customHeight="1" s="21">
      <c r="A26" s="33" t="inlineStr">
        <is>
          <t>Mar 2</t>
        </is>
      </c>
      <c r="B26" s="34" t="inlineStr">
        <is>
          <t>Mon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6">
        <f>IFERROR(C26*450+D26*-550,0)+IFERROR(K26*450+L26*-550,0)</f>
        <v/>
      </c>
    </row>
    <row r="27" ht="15" customHeight="1" s="21">
      <c r="A27" s="33" t="inlineStr">
        <is>
          <t>Mar 3</t>
        </is>
      </c>
      <c r="B27" s="34" t="inlineStr">
        <is>
          <t>Tue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6">
        <f>IFERROR(C27*450+D27*-550,0)+IFERROR(K27*450+L27*-550,0)</f>
        <v/>
      </c>
    </row>
    <row r="28" ht="15" customHeight="1" s="21">
      <c r="A28" s="33" t="inlineStr">
        <is>
          <t>Mar 4</t>
        </is>
      </c>
      <c r="B28" s="34" t="inlineStr">
        <is>
          <t>Wed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6">
        <f>IFERROR(C28*450+D28*-550,0)+IFERROR(K28*450+L28*-550,0)</f>
        <v/>
      </c>
    </row>
    <row r="29" ht="15" customHeight="1" s="21">
      <c r="A29" s="33" t="inlineStr">
        <is>
          <t>Mar 5</t>
        </is>
      </c>
      <c r="B29" s="34" t="inlineStr">
        <is>
          <t>Thu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6">
        <f>IFERROR(C29*450+D29*-550,0)+IFERROR(K29*450+L29*-550,0)</f>
        <v/>
      </c>
    </row>
    <row r="30" ht="15" customHeight="1" s="21">
      <c r="A30" s="33" t="inlineStr">
        <is>
          <t>Mar 6</t>
        </is>
      </c>
      <c r="B30" s="34" t="inlineStr">
        <is>
          <t>Fri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6">
        <f>IFERROR(C30*450+D30*-550,0)+IFERROR(K30*450+L30*-550,0)</f>
        <v/>
      </c>
    </row>
    <row r="31" ht="15" customHeight="1" s="21">
      <c r="A31" s="33" t="inlineStr">
        <is>
          <t>Mar 9</t>
        </is>
      </c>
      <c r="B31" s="34" t="inlineStr">
        <is>
          <t>Mon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6">
        <f>IFERROR(C31*450+D31*-550,0)+IFERROR(K31*450+L31*-550,0)</f>
        <v/>
      </c>
    </row>
    <row r="32" ht="15" customHeight="1" s="21">
      <c r="A32" s="33" t="inlineStr">
        <is>
          <t>Mar 10</t>
        </is>
      </c>
      <c r="B32" s="34" t="inlineStr">
        <is>
          <t>Tue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6">
        <f>IFERROR(C32*450+D32*-550,0)+IFERROR(K32*450+L32*-550,0)</f>
        <v/>
      </c>
    </row>
    <row r="33" ht="15" customHeight="1" s="21">
      <c r="A33" s="33" t="inlineStr">
        <is>
          <t>Mar 11</t>
        </is>
      </c>
      <c r="B33" s="34" t="inlineStr">
        <is>
          <t>Wed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6">
        <f>IFERROR(C33*450+D33*-550,0)+IFERROR(K33*450+L33*-550,0)</f>
        <v/>
      </c>
    </row>
    <row r="34" ht="15" customHeight="1" s="21">
      <c r="A34" s="33" t="inlineStr">
        <is>
          <t>Mar 12</t>
        </is>
      </c>
      <c r="B34" s="34" t="inlineStr">
        <is>
          <t>Thu</t>
        </is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6">
        <f>IFERROR(C34*450+D34*-550,0)+IFERROR(K34*450+L34*-550,0)</f>
        <v/>
      </c>
    </row>
    <row r="35" ht="15" customHeight="1" s="21">
      <c r="A35" s="33" t="inlineStr">
        <is>
          <t>Mar 13</t>
        </is>
      </c>
      <c r="B35" s="34" t="inlineStr">
        <is>
          <t>Fri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6">
        <f>IFERROR(C35*450+D35*-550,0)+IFERROR(K35*450+L35*-550,0)</f>
        <v/>
      </c>
    </row>
    <row r="36" ht="15" customHeight="1" s="21">
      <c r="A36" s="33" t="inlineStr">
        <is>
          <t>Mar 16</t>
        </is>
      </c>
      <c r="B36" s="34" t="inlineStr">
        <is>
          <t>Mon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6">
        <f>IFERROR(C36*450+D36*-550,0)+IFERROR(K36*450+L36*-550,0)</f>
        <v/>
      </c>
    </row>
    <row r="37" ht="15" customHeight="1" s="21">
      <c r="A37" s="33" t="inlineStr">
        <is>
          <t>Mar 17</t>
        </is>
      </c>
      <c r="B37" s="34" t="inlineStr">
        <is>
          <t>Tue</t>
        </is>
      </c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6">
        <f>IFERROR(C37*450+D37*-550,0)+IFERROR(K37*450+L37*-550,0)</f>
        <v/>
      </c>
    </row>
    <row r="38" ht="15" customHeight="1" s="21">
      <c r="A38" s="33" t="inlineStr">
        <is>
          <t>Mar 18</t>
        </is>
      </c>
      <c r="B38" s="34" t="inlineStr">
        <is>
          <t>Wed</t>
        </is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>
        <f>IFERROR(C38*450+D38*-550,0)+IFERROR(K38*450+L38*-550,0)</f>
        <v/>
      </c>
    </row>
    <row r="39" ht="15" customHeight="1" s="21">
      <c r="A39" s="33" t="inlineStr">
        <is>
          <t>Mar 19</t>
        </is>
      </c>
      <c r="B39" s="34" t="inlineStr">
        <is>
          <t>Thu</t>
        </is>
      </c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6">
        <f>IFERROR(C39*450+D39*-550,0)+IFERROR(K39*450+L39*-550,0)</f>
        <v/>
      </c>
    </row>
    <row r="40" ht="15" customHeight="1" s="21">
      <c r="A40" s="33" t="inlineStr">
        <is>
          <t>Mar 20</t>
        </is>
      </c>
      <c r="B40" s="34" t="inlineStr">
        <is>
          <t>Fri</t>
        </is>
      </c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6">
        <f>IFERROR(C40*450+D40*-550,0)+IFERROR(K40*450+L40*-550,0)</f>
        <v/>
      </c>
    </row>
    <row r="41" ht="15" customHeight="1" s="21">
      <c r="A41" s="33" t="inlineStr">
        <is>
          <t>Mar 23</t>
        </is>
      </c>
      <c r="B41" s="34" t="inlineStr">
        <is>
          <t>Mon</t>
        </is>
      </c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6">
        <f>IFERROR(C41*450+D41*-550,0)+IFERROR(K41*450+L41*-550,0)</f>
        <v/>
      </c>
    </row>
    <row r="42" ht="15" customHeight="1" s="21">
      <c r="A42" s="33" t="inlineStr">
        <is>
          <t>Mar 24</t>
        </is>
      </c>
      <c r="B42" s="34" t="inlineStr">
        <is>
          <t>Tue</t>
        </is>
      </c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6">
        <f>IFERROR(C42*450+D42*-550,0)+IFERROR(K42*450+L42*-550,0)</f>
        <v/>
      </c>
    </row>
    <row r="43" ht="15" customHeight="1" s="21">
      <c r="A43" s="33" t="inlineStr">
        <is>
          <t>Mar 25</t>
        </is>
      </c>
      <c r="B43" s="34" t="inlineStr">
        <is>
          <t>Wed</t>
        </is>
      </c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6">
        <f>IFERROR(C43*450+D43*-550,0)+IFERROR(K43*450+L43*-550,0)</f>
        <v/>
      </c>
    </row>
    <row r="44" ht="15" customHeight="1" s="21">
      <c r="A44" s="33" t="inlineStr">
        <is>
          <t>Mar 26</t>
        </is>
      </c>
      <c r="B44" s="34" t="inlineStr">
        <is>
          <t>Thu</t>
        </is>
      </c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6">
        <f>IFERROR(C44*450+D44*-550,0)+IFERROR(K44*450+L44*-550,0)</f>
        <v/>
      </c>
    </row>
    <row r="45" ht="15" customHeight="1" s="21">
      <c r="A45" s="33" t="inlineStr">
        <is>
          <t>Mar 27</t>
        </is>
      </c>
      <c r="B45" s="34" t="inlineStr">
        <is>
          <t>Fri</t>
        </is>
      </c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6">
        <f>IFERROR(C45*450+D45*-550,0)+IFERROR(K45*450+L45*-550,0)</f>
        <v/>
      </c>
    </row>
    <row r="46" ht="15" customHeight="1" s="21">
      <c r="A46" s="33" t="inlineStr">
        <is>
          <t>Mar 30</t>
        </is>
      </c>
      <c r="B46" s="34" t="inlineStr">
        <is>
          <t>Mon</t>
        </is>
      </c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6">
        <f>IFERROR(C46*450+D46*-550,0)+IFERROR(K46*450+L46*-550,0)</f>
        <v/>
      </c>
    </row>
    <row r="47" ht="15" customHeight="1" s="21">
      <c r="A47" s="33" t="inlineStr">
        <is>
          <t>Mar 31</t>
        </is>
      </c>
      <c r="B47" s="34" t="inlineStr">
        <is>
          <t>Tue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6">
        <f>IFERROR(C47*450+D47*-550,0)+IFERROR(K47*450+L47*-550,0)</f>
        <v/>
      </c>
    </row>
    <row r="48" ht="15" customHeight="1" s="21">
      <c r="A48" s="37" t="inlineStr">
        <is>
          <t xml:space="preserve">  ★  MAR  TOTAL</t>
        </is>
      </c>
      <c r="B48" s="38" t="n"/>
      <c r="C48" s="39">
        <f>SUM(C26:C47)</f>
        <v/>
      </c>
      <c r="D48" s="39">
        <f>SUM(D26:D47)</f>
        <v/>
      </c>
      <c r="E48" s="39">
        <f>SUM(E26:E47)</f>
        <v/>
      </c>
      <c r="F48" s="39">
        <f>SUM(F26:F47)</f>
        <v/>
      </c>
      <c r="G48" s="39">
        <f>SUM(G26:G47)</f>
        <v/>
      </c>
      <c r="H48" s="39">
        <f>SUM(H26:H47)</f>
        <v/>
      </c>
      <c r="I48" s="39">
        <f>SUM(I26:I47)</f>
        <v/>
      </c>
      <c r="J48" s="38" t="n"/>
      <c r="K48" s="39">
        <f>SUM(K26:K47)</f>
        <v/>
      </c>
      <c r="L48" s="39">
        <f>SUM(L26:L47)</f>
        <v/>
      </c>
      <c r="M48" s="39">
        <f>SUM(M26:M47)</f>
        <v/>
      </c>
      <c r="N48" s="39">
        <f>SUM(N26:N47)</f>
        <v/>
      </c>
      <c r="O48" s="39">
        <f>SUM(O26:O47)</f>
        <v/>
      </c>
      <c r="P48" s="39">
        <f>SUM(P26:P47)</f>
        <v/>
      </c>
      <c r="Q48" s="39">
        <f>SUM(Q26:Q47)</f>
        <v/>
      </c>
      <c r="R48" s="38" t="n"/>
      <c r="S48" s="40">
        <f>SUM(S26:S47)</f>
        <v/>
      </c>
      <c r="T48" s="41">
        <f>IFERROR((C48+K48)/(C48+D48+K48+L48),0)</f>
        <v/>
      </c>
    </row>
    <row r="49" ht="15" customHeight="1" s="21">
      <c r="A49" s="33" t="inlineStr">
        <is>
          <t>Apr 1</t>
        </is>
      </c>
      <c r="B49" s="34" t="inlineStr">
        <is>
          <t>Wed</t>
        </is>
      </c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6">
        <f>IFERROR(C49*450+D49*-550,0)+IFERROR(K49*450+L49*-550,0)</f>
        <v/>
      </c>
    </row>
    <row r="50" ht="15" customHeight="1" s="21">
      <c r="A50" s="33" t="inlineStr">
        <is>
          <t>Apr 2</t>
        </is>
      </c>
      <c r="B50" s="34" t="inlineStr">
        <is>
          <t>Thu</t>
        </is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6">
        <f>IFERROR(C50*450+D50*-550,0)+IFERROR(K50*450+L50*-550,0)</f>
        <v/>
      </c>
    </row>
    <row r="51" ht="15" customHeight="1" s="21">
      <c r="A51" s="33" t="inlineStr">
        <is>
          <t>Apr 3</t>
        </is>
      </c>
      <c r="B51" s="34" t="inlineStr">
        <is>
          <t>Fri</t>
        </is>
      </c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6">
        <f>IFERROR(C51*450+D51*-550,0)+IFERROR(K51*450+L51*-550,0)</f>
        <v/>
      </c>
    </row>
    <row r="52" ht="15" customHeight="1" s="21">
      <c r="A52" s="33" t="inlineStr">
        <is>
          <t>Apr 6</t>
        </is>
      </c>
      <c r="B52" s="34" t="inlineStr">
        <is>
          <t>Mon</t>
        </is>
      </c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6">
        <f>IFERROR(C52*450+D52*-550,0)+IFERROR(K52*450+L52*-550,0)</f>
        <v/>
      </c>
    </row>
    <row r="53" ht="15" customHeight="1" s="21">
      <c r="A53" s="33" t="inlineStr">
        <is>
          <t>Apr 7</t>
        </is>
      </c>
      <c r="B53" s="34" t="inlineStr">
        <is>
          <t>Tue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6">
        <f>IFERROR(C53*450+D53*-550,0)+IFERROR(K53*450+L53*-550,0)</f>
        <v/>
      </c>
    </row>
    <row r="54" ht="15" customHeight="1" s="21">
      <c r="A54" s="33" t="inlineStr">
        <is>
          <t>Apr 8</t>
        </is>
      </c>
      <c r="B54" s="34" t="inlineStr">
        <is>
          <t>Wed</t>
        </is>
      </c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6">
        <f>IFERROR(C54*450+D54*-550,0)+IFERROR(K54*450+L54*-550,0)</f>
        <v/>
      </c>
    </row>
    <row r="55" ht="15" customHeight="1" s="21">
      <c r="A55" s="33" t="inlineStr">
        <is>
          <t>Apr 9</t>
        </is>
      </c>
      <c r="B55" s="34" t="inlineStr">
        <is>
          <t>Thu</t>
        </is>
      </c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6">
        <f>IFERROR(C55*450+D55*-550,0)+IFERROR(K55*450+L55*-550,0)</f>
        <v/>
      </c>
    </row>
    <row r="56" ht="15" customHeight="1" s="21">
      <c r="A56" s="33" t="inlineStr">
        <is>
          <t>Apr 10</t>
        </is>
      </c>
      <c r="B56" s="34" t="inlineStr">
        <is>
          <t>Fri</t>
        </is>
      </c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6">
        <f>IFERROR(C56*450+D56*-550,0)+IFERROR(K56*450+L56*-550,0)</f>
        <v/>
      </c>
    </row>
    <row r="57" ht="15" customHeight="1" s="21">
      <c r="A57" s="33" t="inlineStr">
        <is>
          <t>Apr 13</t>
        </is>
      </c>
      <c r="B57" s="34" t="inlineStr">
        <is>
          <t>Mon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6">
        <f>IFERROR(C57*450+D57*-550,0)+IFERROR(K57*450+L57*-550,0)</f>
        <v/>
      </c>
    </row>
    <row r="58" ht="15" customHeight="1" s="21">
      <c r="A58" s="33" t="inlineStr">
        <is>
          <t>Apr 14</t>
        </is>
      </c>
      <c r="B58" s="34" t="inlineStr">
        <is>
          <t>Tue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6">
        <f>IFERROR(C58*450+D58*-550,0)+IFERROR(K58*450+L58*-550,0)</f>
        <v/>
      </c>
    </row>
    <row r="59" ht="15" customHeight="1" s="21">
      <c r="A59" s="33" t="inlineStr">
        <is>
          <t>Apr 15</t>
        </is>
      </c>
      <c r="B59" s="34" t="inlineStr">
        <is>
          <t>Wed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6">
        <f>IFERROR(C59*450+D59*-550,0)+IFERROR(K59*450+L59*-550,0)</f>
        <v/>
      </c>
    </row>
    <row r="60" ht="15" customHeight="1" s="21">
      <c r="A60" s="33" t="inlineStr">
        <is>
          <t>Apr 16</t>
        </is>
      </c>
      <c r="B60" s="34" t="inlineStr">
        <is>
          <t>Thu</t>
        </is>
      </c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6">
        <f>IFERROR(C60*450+D60*-550,0)+IFERROR(K60*450+L60*-550,0)</f>
        <v/>
      </c>
    </row>
    <row r="61" ht="15" customHeight="1" s="21">
      <c r="A61" s="33" t="inlineStr">
        <is>
          <t>Apr 17</t>
        </is>
      </c>
      <c r="B61" s="34" t="inlineStr">
        <is>
          <t>Fri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6">
        <f>IFERROR(C61*450+D61*-550,0)+IFERROR(K61*450+L61*-550,0)</f>
        <v/>
      </c>
    </row>
    <row r="62" ht="15" customHeight="1" s="21">
      <c r="A62" s="33" t="inlineStr">
        <is>
          <t>Apr 20</t>
        </is>
      </c>
      <c r="B62" s="34" t="inlineStr">
        <is>
          <t>Mon</t>
        </is>
      </c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6">
        <f>IFERROR(C62*450+D62*-550,0)+IFERROR(K62*450+L62*-550,0)</f>
        <v/>
      </c>
    </row>
    <row r="63" ht="15" customHeight="1" s="21">
      <c r="A63" s="33" t="inlineStr">
        <is>
          <t>Apr 21</t>
        </is>
      </c>
      <c r="B63" s="34" t="inlineStr">
        <is>
          <t>Tue</t>
        </is>
      </c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6">
        <f>IFERROR(C63*450+D63*-550,0)+IFERROR(K63*450+L63*-550,0)</f>
        <v/>
      </c>
    </row>
    <row r="64" ht="15" customHeight="1" s="21">
      <c r="A64" s="33" t="inlineStr">
        <is>
          <t>Apr 22</t>
        </is>
      </c>
      <c r="B64" s="34" t="inlineStr">
        <is>
          <t>Wed</t>
        </is>
      </c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6">
        <f>IFERROR(C64*450+D64*-550,0)+IFERROR(K64*450+L64*-550,0)</f>
        <v/>
      </c>
    </row>
    <row r="65" ht="15" customHeight="1" s="21">
      <c r="A65" s="33" t="inlineStr">
        <is>
          <t>Apr 23</t>
        </is>
      </c>
      <c r="B65" s="34" t="inlineStr">
        <is>
          <t>Thu</t>
        </is>
      </c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6">
        <f>IFERROR(C65*450+D65*-550,0)+IFERROR(K65*450+L65*-550,0)</f>
        <v/>
      </c>
    </row>
    <row r="66" ht="15" customHeight="1" s="21">
      <c r="A66" s="33" t="inlineStr">
        <is>
          <t>Apr 24</t>
        </is>
      </c>
      <c r="B66" s="34" t="inlineStr">
        <is>
          <t>Fri</t>
        </is>
      </c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6">
        <f>IFERROR(C66*450+D66*-550,0)+IFERROR(K66*450+L66*-550,0)</f>
        <v/>
      </c>
    </row>
    <row r="67" ht="15" customHeight="1" s="21">
      <c r="A67" s="33" t="inlineStr">
        <is>
          <t>Apr 27</t>
        </is>
      </c>
      <c r="B67" s="34" t="inlineStr">
        <is>
          <t>Mon</t>
        </is>
      </c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6">
        <f>IFERROR(C67*450+D67*-550,0)+IFERROR(K67*450+L67*-550,0)</f>
        <v/>
      </c>
    </row>
    <row r="68" ht="15" customHeight="1" s="21">
      <c r="A68" s="33" t="inlineStr">
        <is>
          <t>Apr 28</t>
        </is>
      </c>
      <c r="B68" s="34" t="inlineStr">
        <is>
          <t>Tue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6">
        <f>IFERROR(C68*450+D68*-550,0)+IFERROR(K68*450+L68*-550,0)</f>
        <v/>
      </c>
    </row>
    <row r="69" ht="15" customHeight="1" s="21">
      <c r="A69" s="33" t="inlineStr">
        <is>
          <t>Apr 29</t>
        </is>
      </c>
      <c r="B69" s="34" t="inlineStr">
        <is>
          <t>Wed</t>
        </is>
      </c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6">
        <f>IFERROR(C69*450+D69*-550,0)+IFERROR(K69*450+L69*-550,0)</f>
        <v/>
      </c>
    </row>
    <row r="70" ht="15" customHeight="1" s="21">
      <c r="A70" s="33" t="inlineStr">
        <is>
          <t>Apr 30</t>
        </is>
      </c>
      <c r="B70" s="34" t="inlineStr">
        <is>
          <t>Thu</t>
        </is>
      </c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6">
        <f>IFERROR(C70*450+D70*-550,0)+IFERROR(K70*450+L70*-550,0)</f>
        <v/>
      </c>
    </row>
    <row r="71" ht="15" customHeight="1" s="21">
      <c r="A71" s="37" t="inlineStr">
        <is>
          <t xml:space="preserve">  ★  APR  TOTAL</t>
        </is>
      </c>
      <c r="B71" s="38" t="n"/>
      <c r="C71" s="39">
        <f>SUM(C49:C70)</f>
        <v/>
      </c>
      <c r="D71" s="39">
        <f>SUM(D49:D70)</f>
        <v/>
      </c>
      <c r="E71" s="39">
        <f>SUM(E49:E70)</f>
        <v/>
      </c>
      <c r="F71" s="39">
        <f>SUM(F49:F70)</f>
        <v/>
      </c>
      <c r="G71" s="39">
        <f>SUM(G49:G70)</f>
        <v/>
      </c>
      <c r="H71" s="39">
        <f>SUM(H49:H70)</f>
        <v/>
      </c>
      <c r="I71" s="39">
        <f>SUM(I49:I70)</f>
        <v/>
      </c>
      <c r="J71" s="38" t="n"/>
      <c r="K71" s="39">
        <f>SUM(K49:K70)</f>
        <v/>
      </c>
      <c r="L71" s="39">
        <f>SUM(L49:L70)</f>
        <v/>
      </c>
      <c r="M71" s="39">
        <f>SUM(M49:M70)</f>
        <v/>
      </c>
      <c r="N71" s="39">
        <f>SUM(N49:N70)</f>
        <v/>
      </c>
      <c r="O71" s="39">
        <f>SUM(O49:O70)</f>
        <v/>
      </c>
      <c r="P71" s="39">
        <f>SUM(P49:P70)</f>
        <v/>
      </c>
      <c r="Q71" s="39">
        <f>SUM(Q49:Q70)</f>
        <v/>
      </c>
      <c r="R71" s="38" t="n"/>
      <c r="S71" s="40">
        <f>SUM(S49:S70)</f>
        <v/>
      </c>
      <c r="T71" s="41">
        <f>IFERROR((C71+K71)/(C71+D71+K71+L71),0)</f>
        <v/>
      </c>
    </row>
    <row r="72" ht="15" customHeight="1" s="21">
      <c r="A72" s="33" t="inlineStr">
        <is>
          <t>May 1</t>
        </is>
      </c>
      <c r="B72" s="34" t="inlineStr">
        <is>
          <t>Fri</t>
        </is>
      </c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6">
        <f>IFERROR(C72*450+D72*-550,0)+IFERROR(K72*450+L72*-550,0)</f>
        <v/>
      </c>
    </row>
    <row r="73" ht="15" customHeight="1" s="21">
      <c r="A73" s="33" t="inlineStr">
        <is>
          <t>May 4</t>
        </is>
      </c>
      <c r="B73" s="34" t="inlineStr">
        <is>
          <t>Mon</t>
        </is>
      </c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6">
        <f>IFERROR(C73*450+D73*-550,0)+IFERROR(K73*450+L73*-550,0)</f>
        <v/>
      </c>
    </row>
    <row r="74" ht="15" customHeight="1" s="21">
      <c r="A74" s="33" t="inlineStr">
        <is>
          <t>May 5</t>
        </is>
      </c>
      <c r="B74" s="34" t="inlineStr">
        <is>
          <t>Tue</t>
        </is>
      </c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6">
        <f>IFERROR(C74*450+D74*-550,0)+IFERROR(K74*450+L74*-550,0)</f>
        <v/>
      </c>
    </row>
    <row r="75" ht="15" customHeight="1" s="21">
      <c r="A75" s="33" t="inlineStr">
        <is>
          <t>May 6</t>
        </is>
      </c>
      <c r="B75" s="34" t="inlineStr">
        <is>
          <t>Wed</t>
        </is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6">
        <f>IFERROR(C75*450+D75*-550,0)+IFERROR(K75*450+L75*-550,0)</f>
        <v/>
      </c>
    </row>
    <row r="76" ht="15" customHeight="1" s="21">
      <c r="A76" s="33" t="inlineStr">
        <is>
          <t>May 7</t>
        </is>
      </c>
      <c r="B76" s="34" t="inlineStr">
        <is>
          <t>Thu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6">
        <f>IFERROR(C76*450+D76*-550,0)+IFERROR(K76*450+L76*-550,0)</f>
        <v/>
      </c>
    </row>
    <row r="77" ht="15" customHeight="1" s="21">
      <c r="A77" s="33" t="inlineStr">
        <is>
          <t>May 8</t>
        </is>
      </c>
      <c r="B77" s="34" t="inlineStr">
        <is>
          <t>Fri</t>
        </is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6">
        <f>IFERROR(C77*450+D77*-550,0)+IFERROR(K77*450+L77*-550,0)</f>
        <v/>
      </c>
    </row>
    <row r="78" ht="15" customHeight="1" s="21">
      <c r="A78" s="33" t="inlineStr">
        <is>
          <t>May 11</t>
        </is>
      </c>
      <c r="B78" s="34" t="inlineStr">
        <is>
          <t>Mon</t>
        </is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6">
        <f>IFERROR(C78*450+D78*-550,0)+IFERROR(K78*450+L78*-550,0)</f>
        <v/>
      </c>
    </row>
    <row r="79" ht="15" customHeight="1" s="21">
      <c r="A79" s="33" t="inlineStr">
        <is>
          <t>May 12</t>
        </is>
      </c>
      <c r="B79" s="34" t="inlineStr">
        <is>
          <t>Tue</t>
        </is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6">
        <f>IFERROR(C79*450+D79*-550,0)+IFERROR(K79*450+L79*-550,0)</f>
        <v/>
      </c>
    </row>
    <row r="80" ht="15" customHeight="1" s="21">
      <c r="A80" s="33" t="inlineStr">
        <is>
          <t>May 13</t>
        </is>
      </c>
      <c r="B80" s="34" t="inlineStr">
        <is>
          <t>Wed</t>
        </is>
      </c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6">
        <f>IFERROR(C80*450+D80*-550,0)+IFERROR(K80*450+L80*-550,0)</f>
        <v/>
      </c>
    </row>
    <row r="81" ht="15" customHeight="1" s="21">
      <c r="A81" s="33" t="inlineStr">
        <is>
          <t>May 14</t>
        </is>
      </c>
      <c r="B81" s="34" t="inlineStr">
        <is>
          <t>Thu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6">
        <f>IFERROR(C81*450+D81*-550,0)+IFERROR(K81*450+L81*-550,0)</f>
        <v/>
      </c>
    </row>
    <row r="82" ht="15" customHeight="1" s="21">
      <c r="A82" s="33" t="inlineStr">
        <is>
          <t>May 15</t>
        </is>
      </c>
      <c r="B82" s="34" t="inlineStr">
        <is>
          <t>Fri</t>
        </is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6">
        <f>IFERROR(C82*450+D82*-550,0)+IFERROR(K82*450+L82*-550,0)</f>
        <v/>
      </c>
    </row>
    <row r="83" ht="15" customHeight="1" s="21">
      <c r="A83" s="33" t="inlineStr">
        <is>
          <t>May 18</t>
        </is>
      </c>
      <c r="B83" s="34" t="inlineStr">
        <is>
          <t>Mon</t>
        </is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6">
        <f>IFERROR(C83*450+D83*-550,0)+IFERROR(K83*450+L83*-550,0)</f>
        <v/>
      </c>
    </row>
    <row r="84" ht="15" customHeight="1" s="21">
      <c r="A84" s="33" t="inlineStr">
        <is>
          <t>May 19</t>
        </is>
      </c>
      <c r="B84" s="34" t="inlineStr">
        <is>
          <t>Tue</t>
        </is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6">
        <f>IFERROR(C84*450+D84*-550,0)+IFERROR(K84*450+L84*-550,0)</f>
        <v/>
      </c>
    </row>
    <row r="85" ht="15" customHeight="1" s="21">
      <c r="A85" s="33" t="inlineStr">
        <is>
          <t>May 20</t>
        </is>
      </c>
      <c r="B85" s="34" t="inlineStr">
        <is>
          <t>Wed</t>
        </is>
      </c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6">
        <f>IFERROR(C85*450+D85*-550,0)+IFERROR(K85*450+L85*-550,0)</f>
        <v/>
      </c>
    </row>
    <row r="86" ht="15" customHeight="1" s="21">
      <c r="A86" s="33" t="inlineStr">
        <is>
          <t>May 21</t>
        </is>
      </c>
      <c r="B86" s="34" t="inlineStr">
        <is>
          <t>Thu</t>
        </is>
      </c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6">
        <f>IFERROR(C86*450+D86*-550,0)+IFERROR(K86*450+L86*-550,0)</f>
        <v/>
      </c>
    </row>
    <row r="87" ht="15" customHeight="1" s="21">
      <c r="A87" s="33" t="inlineStr">
        <is>
          <t>May 22</t>
        </is>
      </c>
      <c r="B87" s="34" t="inlineStr">
        <is>
          <t>Fri</t>
        </is>
      </c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6">
        <f>IFERROR(C87*450+D87*-550,0)+IFERROR(K87*450+L87*-550,0)</f>
        <v/>
      </c>
    </row>
    <row r="88" ht="15" customHeight="1" s="21">
      <c r="A88" s="33" t="inlineStr">
        <is>
          <t>May 25</t>
        </is>
      </c>
      <c r="B88" s="34" t="inlineStr">
        <is>
          <t>Mon</t>
        </is>
      </c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6">
        <f>IFERROR(C88*450+D88*-550,0)+IFERROR(K88*450+L88*-550,0)</f>
        <v/>
      </c>
    </row>
    <row r="89" ht="15" customHeight="1" s="21">
      <c r="A89" s="33" t="inlineStr">
        <is>
          <t>May 26</t>
        </is>
      </c>
      <c r="B89" s="34" t="inlineStr">
        <is>
          <t>Tue</t>
        </is>
      </c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6">
        <f>IFERROR(C89*450+D89*-550,0)+IFERROR(K89*450+L89*-550,0)</f>
        <v/>
      </c>
    </row>
    <row r="90" ht="15" customHeight="1" s="21">
      <c r="A90" s="33" t="inlineStr">
        <is>
          <t>May 27</t>
        </is>
      </c>
      <c r="B90" s="34" t="inlineStr">
        <is>
          <t>Wed</t>
        </is>
      </c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6">
        <f>IFERROR(C90*450+D90*-550,0)+IFERROR(K90*450+L90*-550,0)</f>
        <v/>
      </c>
    </row>
    <row r="91" ht="15" customHeight="1" s="21">
      <c r="A91" s="33" t="inlineStr">
        <is>
          <t>May 28</t>
        </is>
      </c>
      <c r="B91" s="34" t="inlineStr">
        <is>
          <t>Thu</t>
        </is>
      </c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6">
        <f>IFERROR(C91*450+D91*-550,0)+IFERROR(K91*450+L91*-550,0)</f>
        <v/>
      </c>
    </row>
    <row r="92" ht="15" customHeight="1" s="21">
      <c r="A92" s="33" t="inlineStr">
        <is>
          <t>May 29</t>
        </is>
      </c>
      <c r="B92" s="34" t="inlineStr">
        <is>
          <t>Fri</t>
        </is>
      </c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6">
        <f>IFERROR(C92*450+D92*-550,0)+IFERROR(K92*450+L92*-550,0)</f>
        <v/>
      </c>
    </row>
    <row r="93" ht="15" customHeight="1" s="21">
      <c r="A93" s="37" t="inlineStr">
        <is>
          <t xml:space="preserve">  ★  MAY  TOTAL</t>
        </is>
      </c>
      <c r="B93" s="38" t="n"/>
      <c r="C93" s="39">
        <f>SUM(C72:C92)</f>
        <v/>
      </c>
      <c r="D93" s="39">
        <f>SUM(D72:D92)</f>
        <v/>
      </c>
      <c r="E93" s="39">
        <f>SUM(E72:E92)</f>
        <v/>
      </c>
      <c r="F93" s="39">
        <f>SUM(F72:F92)</f>
        <v/>
      </c>
      <c r="G93" s="39">
        <f>SUM(G72:G92)</f>
        <v/>
      </c>
      <c r="H93" s="39">
        <f>SUM(H72:H92)</f>
        <v/>
      </c>
      <c r="I93" s="39">
        <f>SUM(I72:I92)</f>
        <v/>
      </c>
      <c r="J93" s="38" t="n"/>
      <c r="K93" s="39">
        <f>SUM(K72:K92)</f>
        <v/>
      </c>
      <c r="L93" s="39">
        <f>SUM(L72:L92)</f>
        <v/>
      </c>
      <c r="M93" s="39">
        <f>SUM(M72:M92)</f>
        <v/>
      </c>
      <c r="N93" s="39">
        <f>SUM(N72:N92)</f>
        <v/>
      </c>
      <c r="O93" s="39">
        <f>SUM(O72:O92)</f>
        <v/>
      </c>
      <c r="P93" s="39">
        <f>SUM(P72:P92)</f>
        <v/>
      </c>
      <c r="Q93" s="39">
        <f>SUM(Q72:Q92)</f>
        <v/>
      </c>
      <c r="R93" s="38" t="n"/>
      <c r="S93" s="40">
        <f>SUM(S72:S92)</f>
        <v/>
      </c>
      <c r="T93" s="41">
        <f>IFERROR((C93+K93)/(C93+D93+K93+L93),0)</f>
        <v/>
      </c>
    </row>
    <row r="94" ht="15" customHeight="1" s="21">
      <c r="A94" s="33" t="inlineStr">
        <is>
          <t>Jun 1</t>
        </is>
      </c>
      <c r="B94" s="34" t="inlineStr">
        <is>
          <t>Mon</t>
        </is>
      </c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6">
        <f>IFERROR(C94*450+D94*-550,0)+IFERROR(K94*450+L94*-550,0)</f>
        <v/>
      </c>
    </row>
    <row r="95" ht="15" customHeight="1" s="21">
      <c r="A95" s="33" t="inlineStr">
        <is>
          <t>Jun 2</t>
        </is>
      </c>
      <c r="B95" s="34" t="inlineStr">
        <is>
          <t>Tue</t>
        </is>
      </c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6">
        <f>IFERROR(C95*450+D95*-550,0)+IFERROR(K95*450+L95*-550,0)</f>
        <v/>
      </c>
    </row>
    <row r="96" ht="15" customHeight="1" s="21">
      <c r="A96" s="33" t="inlineStr">
        <is>
          <t>Jun 3</t>
        </is>
      </c>
      <c r="B96" s="34" t="inlineStr">
        <is>
          <t>Wed</t>
        </is>
      </c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6">
        <f>IFERROR(C96*450+D96*-550,0)+IFERROR(K96*450+L96*-550,0)</f>
        <v/>
      </c>
    </row>
    <row r="97" ht="15" customHeight="1" s="21">
      <c r="A97" s="33" t="inlineStr">
        <is>
          <t>Jun 4</t>
        </is>
      </c>
      <c r="B97" s="34" t="inlineStr">
        <is>
          <t>Thu</t>
        </is>
      </c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6">
        <f>IFERROR(C97*450+D97*-550,0)+IFERROR(K97*450+L97*-550,0)</f>
        <v/>
      </c>
    </row>
    <row r="98" ht="15" customHeight="1" s="21">
      <c r="A98" s="33" t="inlineStr">
        <is>
          <t>Jun 5</t>
        </is>
      </c>
      <c r="B98" s="34" t="inlineStr">
        <is>
          <t>Fri</t>
        </is>
      </c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6">
        <f>IFERROR(C98*450+D98*-550,0)+IFERROR(K98*450+L98*-550,0)</f>
        <v/>
      </c>
    </row>
    <row r="99" ht="15" customHeight="1" s="21">
      <c r="A99" s="33" t="inlineStr">
        <is>
          <t>Jun 8</t>
        </is>
      </c>
      <c r="B99" s="34" t="inlineStr">
        <is>
          <t>Mon</t>
        </is>
      </c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6">
        <f>IFERROR(C99*450+D99*-550,0)+IFERROR(K99*450+L99*-550,0)</f>
        <v/>
      </c>
    </row>
    <row r="100" ht="15" customHeight="1" s="21">
      <c r="A100" s="33" t="inlineStr">
        <is>
          <t>Jun 9</t>
        </is>
      </c>
      <c r="B100" s="34" t="inlineStr">
        <is>
          <t>Tue</t>
        </is>
      </c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6">
        <f>IFERROR(C100*450+D100*-550,0)+IFERROR(K100*450+L100*-550,0)</f>
        <v/>
      </c>
    </row>
    <row r="101" ht="15" customHeight="1" s="21">
      <c r="A101" s="33" t="inlineStr">
        <is>
          <t>Jun 10</t>
        </is>
      </c>
      <c r="B101" s="34" t="inlineStr">
        <is>
          <t>Wed</t>
        </is>
      </c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6">
        <f>IFERROR(C101*450+D101*-550,0)+IFERROR(K101*450+L101*-550,0)</f>
        <v/>
      </c>
    </row>
    <row r="102" ht="15" customHeight="1" s="21">
      <c r="A102" s="33" t="inlineStr">
        <is>
          <t>Jun 11</t>
        </is>
      </c>
      <c r="B102" s="34" t="inlineStr">
        <is>
          <t>Thu</t>
        </is>
      </c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6">
        <f>IFERROR(C102*450+D102*-550,0)+IFERROR(K102*450+L102*-550,0)</f>
        <v/>
      </c>
    </row>
    <row r="103" ht="15" customHeight="1" s="21">
      <c r="A103" s="33" t="inlineStr">
        <is>
          <t>Jun 12</t>
        </is>
      </c>
      <c r="B103" s="34" t="inlineStr">
        <is>
          <t>Fri</t>
        </is>
      </c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6">
        <f>IFERROR(C103*450+D103*-550,0)+IFERROR(K103*450+L103*-550,0)</f>
        <v/>
      </c>
    </row>
    <row r="104" ht="15" customHeight="1" s="21">
      <c r="A104" s="33" t="inlineStr">
        <is>
          <t>Jun 15</t>
        </is>
      </c>
      <c r="B104" s="34" t="inlineStr">
        <is>
          <t>Mon</t>
        </is>
      </c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6">
        <f>IFERROR(C104*450+D104*-550,0)+IFERROR(K104*450+L104*-550,0)</f>
        <v/>
      </c>
    </row>
    <row r="105" ht="15" customHeight="1" s="21">
      <c r="A105" s="33" t="inlineStr">
        <is>
          <t>Jun 16</t>
        </is>
      </c>
      <c r="B105" s="34" t="inlineStr">
        <is>
          <t>Tue</t>
        </is>
      </c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6">
        <f>IFERROR(C105*450+D105*-550,0)+IFERROR(K105*450+L105*-550,0)</f>
        <v/>
      </c>
    </row>
    <row r="106" ht="15" customHeight="1" s="21">
      <c r="A106" s="33" t="inlineStr">
        <is>
          <t>Jun 17</t>
        </is>
      </c>
      <c r="B106" s="34" t="inlineStr">
        <is>
          <t>Wed</t>
        </is>
      </c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6">
        <f>IFERROR(C106*450+D106*-550,0)+IFERROR(K106*450+L106*-550,0)</f>
        <v/>
      </c>
    </row>
    <row r="107" ht="15" customHeight="1" s="21">
      <c r="A107" s="33" t="inlineStr">
        <is>
          <t>Jun 18</t>
        </is>
      </c>
      <c r="B107" s="34" t="inlineStr">
        <is>
          <t>Thu</t>
        </is>
      </c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6">
        <f>IFERROR(C107*450+D107*-550,0)+IFERROR(K107*450+L107*-550,0)</f>
        <v/>
      </c>
    </row>
    <row r="108" ht="15" customHeight="1" s="21">
      <c r="A108" s="33" t="inlineStr">
        <is>
          <t>Jun 19</t>
        </is>
      </c>
      <c r="B108" s="34" t="inlineStr">
        <is>
          <t>Fri</t>
        </is>
      </c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6">
        <f>IFERROR(C108*450+D108*-550,0)+IFERROR(K108*450+L108*-550,0)</f>
        <v/>
      </c>
    </row>
    <row r="109" ht="15" customHeight="1" s="21">
      <c r="A109" s="33" t="inlineStr">
        <is>
          <t>Jun 22</t>
        </is>
      </c>
      <c r="B109" s="34" t="inlineStr">
        <is>
          <t>Mon</t>
        </is>
      </c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6">
        <f>IFERROR(C109*450+D109*-550,0)+IFERROR(K109*450+L109*-550,0)</f>
        <v/>
      </c>
    </row>
    <row r="110" ht="15" customHeight="1" s="21">
      <c r="A110" s="33" t="inlineStr">
        <is>
          <t>Jun 23</t>
        </is>
      </c>
      <c r="B110" s="34" t="inlineStr">
        <is>
          <t>Tue</t>
        </is>
      </c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6">
        <f>IFERROR(C110*450+D110*-550,0)+IFERROR(K110*450+L110*-550,0)</f>
        <v/>
      </c>
    </row>
    <row r="111" ht="15" customHeight="1" s="21">
      <c r="A111" s="33" t="inlineStr">
        <is>
          <t>Jun 24</t>
        </is>
      </c>
      <c r="B111" s="34" t="inlineStr">
        <is>
          <t>Wed</t>
        </is>
      </c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6">
        <f>IFERROR(C111*450+D111*-550,0)+IFERROR(K111*450+L111*-550,0)</f>
        <v/>
      </c>
    </row>
    <row r="112" ht="15" customHeight="1" s="21">
      <c r="A112" s="33" t="inlineStr">
        <is>
          <t>Jun 25</t>
        </is>
      </c>
      <c r="B112" s="34" t="inlineStr">
        <is>
          <t>Thu</t>
        </is>
      </c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6">
        <f>IFERROR(C112*450+D112*-550,0)+IFERROR(K112*450+L112*-550,0)</f>
        <v/>
      </c>
    </row>
    <row r="113" ht="15" customHeight="1" s="21">
      <c r="A113" s="33" t="inlineStr">
        <is>
          <t>Jun 26</t>
        </is>
      </c>
      <c r="B113" s="34" t="inlineStr">
        <is>
          <t>Fri</t>
        </is>
      </c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6">
        <f>IFERROR(C113*450+D113*-550,0)+IFERROR(K113*450+L113*-550,0)</f>
        <v/>
      </c>
    </row>
    <row r="114" ht="15" customHeight="1" s="21">
      <c r="A114" s="33" t="inlineStr">
        <is>
          <t>Jun 29</t>
        </is>
      </c>
      <c r="B114" s="34" t="inlineStr">
        <is>
          <t>Mon</t>
        </is>
      </c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6">
        <f>IFERROR(C114*450+D114*-550,0)+IFERROR(K114*450+L114*-550,0)</f>
        <v/>
      </c>
    </row>
    <row r="115" ht="15" customHeight="1" s="21">
      <c r="A115" s="33" t="inlineStr">
        <is>
          <t>Jun 30</t>
        </is>
      </c>
      <c r="B115" s="34" t="inlineStr">
        <is>
          <t>Tue</t>
        </is>
      </c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6">
        <f>IFERROR(C115*450+D115*-550,0)+IFERROR(K115*450+L115*-550,0)</f>
        <v/>
      </c>
    </row>
    <row r="116" ht="15" customHeight="1" s="21">
      <c r="A116" s="37" t="inlineStr">
        <is>
          <t xml:space="preserve">  ★  JUN  TOTAL</t>
        </is>
      </c>
      <c r="B116" s="38" t="n"/>
      <c r="C116" s="39">
        <f>SUM(C94:C115)</f>
        <v/>
      </c>
      <c r="D116" s="39">
        <f>SUM(D94:D115)</f>
        <v/>
      </c>
      <c r="E116" s="39">
        <f>SUM(E94:E115)</f>
        <v/>
      </c>
      <c r="F116" s="39">
        <f>SUM(F94:F115)</f>
        <v/>
      </c>
      <c r="G116" s="39">
        <f>SUM(G94:G115)</f>
        <v/>
      </c>
      <c r="H116" s="39">
        <f>SUM(H94:H115)</f>
        <v/>
      </c>
      <c r="I116" s="39">
        <f>SUM(I94:I115)</f>
        <v/>
      </c>
      <c r="J116" s="38" t="n"/>
      <c r="K116" s="39">
        <f>SUM(K94:K115)</f>
        <v/>
      </c>
      <c r="L116" s="39">
        <f>SUM(L94:L115)</f>
        <v/>
      </c>
      <c r="M116" s="39">
        <f>SUM(M94:M115)</f>
        <v/>
      </c>
      <c r="N116" s="39">
        <f>SUM(N94:N115)</f>
        <v/>
      </c>
      <c r="O116" s="39">
        <f>SUM(O94:O115)</f>
        <v/>
      </c>
      <c r="P116" s="39">
        <f>SUM(P94:P115)</f>
        <v/>
      </c>
      <c r="Q116" s="39">
        <f>SUM(Q94:Q115)</f>
        <v/>
      </c>
      <c r="R116" s="38" t="n"/>
      <c r="S116" s="40">
        <f>SUM(S94:S115)</f>
        <v/>
      </c>
      <c r="T116" s="41">
        <f>IFERROR((C116+K116)/(C116+D116+K116+L116),0)</f>
        <v/>
      </c>
    </row>
    <row r="117" ht="15" customHeight="1" s="21">
      <c r="A117" s="33" t="inlineStr">
        <is>
          <t>Jul 1</t>
        </is>
      </c>
      <c r="B117" s="34" t="inlineStr">
        <is>
          <t>Wed</t>
        </is>
      </c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6">
        <f>IFERROR(C117*450+D117*-550,0)+IFERROR(K117*450+L117*-550,0)</f>
        <v/>
      </c>
    </row>
    <row r="118" ht="15" customHeight="1" s="21">
      <c r="A118" s="33" t="inlineStr">
        <is>
          <t>Jul 2</t>
        </is>
      </c>
      <c r="B118" s="34" t="inlineStr">
        <is>
          <t>Thu</t>
        </is>
      </c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6">
        <f>IFERROR(C118*450+D118*-550,0)+IFERROR(K118*450+L118*-550,0)</f>
        <v/>
      </c>
    </row>
    <row r="119" ht="15" customHeight="1" s="21">
      <c r="A119" s="33" t="inlineStr">
        <is>
          <t>Jul 3</t>
        </is>
      </c>
      <c r="B119" s="34" t="inlineStr">
        <is>
          <t>Fri</t>
        </is>
      </c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6">
        <f>IFERROR(C119*450+D119*-550,0)+IFERROR(K119*450+L119*-550,0)</f>
        <v/>
      </c>
    </row>
    <row r="120" ht="15" customHeight="1" s="21">
      <c r="A120" s="33" t="inlineStr">
        <is>
          <t>Jul 6</t>
        </is>
      </c>
      <c r="B120" s="34" t="inlineStr">
        <is>
          <t>Mon</t>
        </is>
      </c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6">
        <f>IFERROR(C120*450+D120*-550,0)+IFERROR(K120*450+L120*-550,0)</f>
        <v/>
      </c>
    </row>
    <row r="121" ht="15" customHeight="1" s="21">
      <c r="A121" s="33" t="inlineStr">
        <is>
          <t>Jul 7</t>
        </is>
      </c>
      <c r="B121" s="34" t="inlineStr">
        <is>
          <t>Tue</t>
        </is>
      </c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6">
        <f>IFERROR(C121*450+D121*-550,0)+IFERROR(K121*450+L121*-550,0)</f>
        <v/>
      </c>
    </row>
    <row r="122" ht="15" customHeight="1" s="21">
      <c r="A122" s="33" t="inlineStr">
        <is>
          <t>Jul 8</t>
        </is>
      </c>
      <c r="B122" s="34" t="inlineStr">
        <is>
          <t>Wed</t>
        </is>
      </c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6">
        <f>IFERROR(C122*450+D122*-550,0)+IFERROR(K122*450+L122*-550,0)</f>
        <v/>
      </c>
    </row>
    <row r="123" ht="15" customHeight="1" s="21">
      <c r="A123" s="33" t="inlineStr">
        <is>
          <t>Jul 9</t>
        </is>
      </c>
      <c r="B123" s="34" t="inlineStr">
        <is>
          <t>Thu</t>
        </is>
      </c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6">
        <f>IFERROR(C123*450+D123*-550,0)+IFERROR(K123*450+L123*-550,0)</f>
        <v/>
      </c>
    </row>
    <row r="124" ht="15" customHeight="1" s="21">
      <c r="A124" s="33" t="inlineStr">
        <is>
          <t>Jul 10</t>
        </is>
      </c>
      <c r="B124" s="34" t="inlineStr">
        <is>
          <t>Fri</t>
        </is>
      </c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6">
        <f>IFERROR(C124*450+D124*-550,0)+IFERROR(K124*450+L124*-550,0)</f>
        <v/>
      </c>
    </row>
    <row r="125" ht="15" customHeight="1" s="21">
      <c r="A125" s="33" t="inlineStr">
        <is>
          <t>Jul 13</t>
        </is>
      </c>
      <c r="B125" s="34" t="inlineStr">
        <is>
          <t>Mon</t>
        </is>
      </c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6">
        <f>IFERROR(C125*450+D125*-550,0)+IFERROR(K125*450+L125*-550,0)</f>
        <v/>
      </c>
    </row>
    <row r="126" ht="15" customHeight="1" s="21">
      <c r="A126" s="33" t="inlineStr">
        <is>
          <t>Jul 14</t>
        </is>
      </c>
      <c r="B126" s="34" t="inlineStr">
        <is>
          <t>Tue</t>
        </is>
      </c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6">
        <f>IFERROR(C126*450+D126*-550,0)+IFERROR(K126*450+L126*-550,0)</f>
        <v/>
      </c>
    </row>
    <row r="127" ht="15" customHeight="1" s="21">
      <c r="A127" s="33" t="inlineStr">
        <is>
          <t>Jul 15</t>
        </is>
      </c>
      <c r="B127" s="34" t="inlineStr">
        <is>
          <t>Wed</t>
        </is>
      </c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6">
        <f>IFERROR(C127*450+D127*-550,0)+IFERROR(K127*450+L127*-550,0)</f>
        <v/>
      </c>
    </row>
    <row r="128" ht="15" customHeight="1" s="21">
      <c r="A128" s="33" t="inlineStr">
        <is>
          <t>Jul 16</t>
        </is>
      </c>
      <c r="B128" s="34" t="inlineStr">
        <is>
          <t>Thu</t>
        </is>
      </c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6">
        <f>IFERROR(C128*450+D128*-550,0)+IFERROR(K128*450+L128*-550,0)</f>
        <v/>
      </c>
    </row>
    <row r="129" ht="15" customHeight="1" s="21">
      <c r="A129" s="33" t="inlineStr">
        <is>
          <t>Jul 17</t>
        </is>
      </c>
      <c r="B129" s="34" t="inlineStr">
        <is>
          <t>Fri</t>
        </is>
      </c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6">
        <f>IFERROR(C129*450+D129*-550,0)+IFERROR(K129*450+L129*-550,0)</f>
        <v/>
      </c>
    </row>
    <row r="130" ht="15" customHeight="1" s="21">
      <c r="A130" s="33" t="inlineStr">
        <is>
          <t>Jul 20</t>
        </is>
      </c>
      <c r="B130" s="34" t="inlineStr">
        <is>
          <t>Mon</t>
        </is>
      </c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6">
        <f>IFERROR(C130*450+D130*-550,0)+IFERROR(K130*450+L130*-550,0)</f>
        <v/>
      </c>
    </row>
    <row r="131" ht="15" customHeight="1" s="21">
      <c r="A131" s="33" t="inlineStr">
        <is>
          <t>Jul 21</t>
        </is>
      </c>
      <c r="B131" s="34" t="inlineStr">
        <is>
          <t>Tue</t>
        </is>
      </c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6">
        <f>IFERROR(C131*450+D131*-550,0)+IFERROR(K131*450+L131*-550,0)</f>
        <v/>
      </c>
    </row>
    <row r="132" ht="15" customHeight="1" s="21">
      <c r="A132" s="33" t="inlineStr">
        <is>
          <t>Jul 22</t>
        </is>
      </c>
      <c r="B132" s="34" t="inlineStr">
        <is>
          <t>Wed</t>
        </is>
      </c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6">
        <f>IFERROR(C132*450+D132*-550,0)+IFERROR(K132*450+L132*-550,0)</f>
        <v/>
      </c>
    </row>
    <row r="133" ht="15" customHeight="1" s="21">
      <c r="A133" s="33" t="inlineStr">
        <is>
          <t>Jul 23</t>
        </is>
      </c>
      <c r="B133" s="34" t="inlineStr">
        <is>
          <t>Thu</t>
        </is>
      </c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6">
        <f>IFERROR(C133*450+D133*-550,0)+IFERROR(K133*450+L133*-550,0)</f>
        <v/>
      </c>
    </row>
    <row r="134" ht="15" customHeight="1" s="21">
      <c r="A134" s="33" t="inlineStr">
        <is>
          <t>Jul 24</t>
        </is>
      </c>
      <c r="B134" s="34" t="inlineStr">
        <is>
          <t>Fri</t>
        </is>
      </c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6">
        <f>IFERROR(C134*450+D134*-550,0)+IFERROR(K134*450+L134*-550,0)</f>
        <v/>
      </c>
    </row>
    <row r="135" ht="15" customHeight="1" s="21">
      <c r="A135" s="33" t="inlineStr">
        <is>
          <t>Jul 27</t>
        </is>
      </c>
      <c r="B135" s="34" t="inlineStr">
        <is>
          <t>Mon</t>
        </is>
      </c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6">
        <f>IFERROR(C135*450+D135*-550,0)+IFERROR(K135*450+L135*-550,0)</f>
        <v/>
      </c>
    </row>
    <row r="136" ht="15" customHeight="1" s="21">
      <c r="A136" s="33" t="inlineStr">
        <is>
          <t>Jul 28</t>
        </is>
      </c>
      <c r="B136" s="34" t="inlineStr">
        <is>
          <t>Tue</t>
        </is>
      </c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6">
        <f>IFERROR(C136*450+D136*-550,0)+IFERROR(K136*450+L136*-550,0)</f>
        <v/>
      </c>
    </row>
    <row r="137" ht="15" customHeight="1" s="21">
      <c r="A137" s="33" t="inlineStr">
        <is>
          <t>Jul 29</t>
        </is>
      </c>
      <c r="B137" s="34" t="inlineStr">
        <is>
          <t>Wed</t>
        </is>
      </c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6">
        <f>IFERROR(C137*450+D137*-550,0)+IFERROR(K137*450+L137*-550,0)</f>
        <v/>
      </c>
    </row>
    <row r="138" ht="15" customHeight="1" s="21">
      <c r="A138" s="33" t="inlineStr">
        <is>
          <t>Jul 30</t>
        </is>
      </c>
      <c r="B138" s="34" t="inlineStr">
        <is>
          <t>Thu</t>
        </is>
      </c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6">
        <f>IFERROR(C138*450+D138*-550,0)+IFERROR(K138*450+L138*-550,0)</f>
        <v/>
      </c>
    </row>
    <row r="139" ht="15" customHeight="1" s="21">
      <c r="A139" s="33" t="inlineStr">
        <is>
          <t>Jul 31</t>
        </is>
      </c>
      <c r="B139" s="34" t="inlineStr">
        <is>
          <t>Fri</t>
        </is>
      </c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6">
        <f>IFERROR(C139*450+D139*-550,0)+IFERROR(K139*450+L139*-550,0)</f>
        <v/>
      </c>
    </row>
    <row r="140" ht="15" customHeight="1" s="21">
      <c r="A140" s="37" t="inlineStr">
        <is>
          <t xml:space="preserve">  ★  JUL  TOTAL</t>
        </is>
      </c>
      <c r="B140" s="38" t="n"/>
      <c r="C140" s="39">
        <f>SUM(C117:C139)</f>
        <v/>
      </c>
      <c r="D140" s="39">
        <f>SUM(D117:D139)</f>
        <v/>
      </c>
      <c r="E140" s="39">
        <f>SUM(E117:E139)</f>
        <v/>
      </c>
      <c r="F140" s="39">
        <f>SUM(F117:F139)</f>
        <v/>
      </c>
      <c r="G140" s="39">
        <f>SUM(G117:G139)</f>
        <v/>
      </c>
      <c r="H140" s="39">
        <f>SUM(H117:H139)</f>
        <v/>
      </c>
      <c r="I140" s="39">
        <f>SUM(I117:I139)</f>
        <v/>
      </c>
      <c r="J140" s="38" t="n"/>
      <c r="K140" s="39">
        <f>SUM(K117:K139)</f>
        <v/>
      </c>
      <c r="L140" s="39">
        <f>SUM(L117:L139)</f>
        <v/>
      </c>
      <c r="M140" s="39">
        <f>SUM(M117:M139)</f>
        <v/>
      </c>
      <c r="N140" s="39">
        <f>SUM(N117:N139)</f>
        <v/>
      </c>
      <c r="O140" s="39">
        <f>SUM(O117:O139)</f>
        <v/>
      </c>
      <c r="P140" s="39">
        <f>SUM(P117:P139)</f>
        <v/>
      </c>
      <c r="Q140" s="39">
        <f>SUM(Q117:Q139)</f>
        <v/>
      </c>
      <c r="R140" s="38" t="n"/>
      <c r="S140" s="40">
        <f>SUM(S117:S139)</f>
        <v/>
      </c>
      <c r="T140" s="41">
        <f>IFERROR((C140+K140)/(C140+D140+K140+L140),0)</f>
        <v/>
      </c>
    </row>
    <row r="141" ht="15" customHeight="1" s="21">
      <c r="A141" s="37" t="inlineStr">
        <is>
          <t>OVERALL TOTAL</t>
        </is>
      </c>
      <c r="B141" s="38" t="n"/>
      <c r="C141" s="39" t="n"/>
      <c r="D141" s="39" t="n"/>
      <c r="E141" s="39" t="n"/>
      <c r="F141" s="39" t="n"/>
      <c r="G141" s="39" t="n"/>
      <c r="H141" s="39" t="n"/>
      <c r="I141" s="39" t="n"/>
      <c r="J141" s="38" t="n"/>
      <c r="K141" s="39" t="n"/>
      <c r="L141" s="39" t="n"/>
      <c r="M141" s="39" t="n"/>
      <c r="N141" s="39" t="n"/>
      <c r="O141" s="39" t="n"/>
      <c r="P141" s="39" t="n"/>
      <c r="Q141" s="39" t="n"/>
      <c r="R141" s="38" t="n"/>
      <c r="S141" s="40">
        <f>S25+S48+S71+S93+S116+S140</f>
        <v/>
      </c>
      <c r="T141" s="42">
        <f>IFERROR((C25+C48+C71+C93+C116+C140+K25+K48+K71+K93+K116+K140)/(C25+C48+C71+C93+C116+C140+D25+D48+D71+D93+D116+D140+K25+K48+K71+K93+K116+K140+L25+L48+L71+L93+L116+L140),0)</f>
        <v/>
      </c>
    </row>
  </sheetData>
  <mergeCells count="6">
    <mergeCell ref="A1:T1"/>
    <mergeCell ref="A2:B2"/>
    <mergeCell ref="C2:J2"/>
    <mergeCell ref="K2:R2"/>
    <mergeCell ref="A4:S4"/>
    <mergeCell ref="S2:S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2026-08-02T03:10:28Z</dcterms:created>
  <dcterms:modified xmlns:dcterms="http://purl.org/dc/terms/" xmlns:xsi="http://www.w3.org/2001/XMLSchema-instance" xsi:type="dcterms:W3CDTF">2026-08-03T13:56:14Z</dcterms:modified>
  <cp:revision>0</cp:revision>
</cp:coreProperties>
</file>