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–Jul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<sst xmlns="http://schemas.openxmlformats.org/spreadsheetml/2006/main" count="276" uniqueCount="151">
  <si>
    <t xml:space="preserve">THE REBOUND  —  ES FUTURES  |  WIN $450 / LOSS $550  |  FEB–JUL 2026</t>
  </si>
  <si>
    <t xml:space="preserve">NY SESSION  (6:30 AM PT — weekdays only)</t>
  </si>
  <si>
    <t xml:space="preserve">DAILY P&amp;L</t>
  </si>
  <si>
    <t xml:space="preserve">DATE</t>
  </si>
  <si>
    <t xml:space="preserve">DAY</t>
  </si>
  <si>
    <t xml:space="preserve">W</t>
  </si>
  <si>
    <t xml:space="preserve">L</t>
  </si>
  <si>
    <t xml:space="preserve">WIN RATE</t>
  </si>
  <si>
    <t xml:space="preserve">W=Wins  L=Losses  (NY Session only — weekdays)</t>
  </si>
  <si>
    <t xml:space="preserve">Feb 2</t>
  </si>
  <si>
    <t xml:space="preserve">Mon</t>
  </si>
  <si>
    <t xml:space="preserve">Feb 3</t>
  </si>
  <si>
    <t xml:space="preserve">Tue</t>
  </si>
  <si>
    <t xml:space="preserve">Feb 4</t>
  </si>
  <si>
    <t xml:space="preserve">Wed</t>
  </si>
  <si>
    <t xml:space="preserve">Feb 5</t>
  </si>
  <si>
    <t xml:space="preserve">Thu</t>
  </si>
  <si>
    <t xml:space="preserve">Feb 6</t>
  </si>
  <si>
    <t xml:space="preserve">Fri</t>
  </si>
  <si>
    <t xml:space="preserve">Feb 9</t>
  </si>
  <si>
    <t xml:space="preserve">Feb 10</t>
  </si>
  <si>
    <t xml:space="preserve">Feb 11</t>
  </si>
  <si>
    <t xml:space="preserve">Feb 12</t>
  </si>
  <si>
    <t xml:space="preserve">Feb 13</t>
  </si>
  <si>
    <t xml:space="preserve">Feb 16</t>
  </si>
  <si>
    <t xml:space="preserve">Feb 17</t>
  </si>
  <si>
    <t xml:space="preserve">Feb 18</t>
  </si>
  <si>
    <t xml:space="preserve">Feb 19</t>
  </si>
  <si>
    <t xml:space="preserve">Feb 20</t>
  </si>
  <si>
    <t xml:space="preserve">Feb 23</t>
  </si>
  <si>
    <t xml:space="preserve">Feb 24</t>
  </si>
  <si>
    <t xml:space="preserve">Feb 25</t>
  </si>
  <si>
    <t xml:space="preserve">Feb 26</t>
  </si>
  <si>
    <t xml:space="preserve">Feb 27</t>
  </si>
  <si>
    <t xml:space="preserve">  ★  FEB  TOTAL</t>
  </si>
  <si>
    <t xml:space="preserve">Mar 2</t>
  </si>
  <si>
    <t xml:space="preserve">Mar 3</t>
  </si>
  <si>
    <t xml:space="preserve">Mar 4</t>
  </si>
  <si>
    <t xml:space="preserve">Mar 5</t>
  </si>
  <si>
    <t xml:space="preserve">Mar 6</t>
  </si>
  <si>
    <t xml:space="preserve">Mar 9</t>
  </si>
  <si>
    <t xml:space="preserve">Mar 10</t>
  </si>
  <si>
    <t xml:space="preserve">Mar 11</t>
  </si>
  <si>
    <t xml:space="preserve">Mar 12</t>
  </si>
  <si>
    <t xml:space="preserve">Mar 13</t>
  </si>
  <si>
    <t xml:space="preserve">Mar 16</t>
  </si>
  <si>
    <t xml:space="preserve">Mar 17</t>
  </si>
  <si>
    <t xml:space="preserve">Mar 18</t>
  </si>
  <si>
    <t xml:space="preserve">Mar 19</t>
  </si>
  <si>
    <t xml:space="preserve">Mar 20</t>
  </si>
  <si>
    <t xml:space="preserve">Mar 23</t>
  </si>
  <si>
    <t xml:space="preserve">Mar 24</t>
  </si>
  <si>
    <t xml:space="preserve">Mar 25</t>
  </si>
  <si>
    <t xml:space="preserve">Mar 26</t>
  </si>
  <si>
    <t xml:space="preserve">Mar 27</t>
  </si>
  <si>
    <t xml:space="preserve">Mar 30</t>
  </si>
  <si>
    <t xml:space="preserve">Mar 31</t>
  </si>
  <si>
    <t xml:space="preserve">  ★  MAR  TOTAL</t>
  </si>
  <si>
    <t xml:space="preserve">Apr 1</t>
  </si>
  <si>
    <t xml:space="preserve">Apr 2</t>
  </si>
  <si>
    <t xml:space="preserve">Apr 3</t>
  </si>
  <si>
    <t xml:space="preserve">Apr 6</t>
  </si>
  <si>
    <t xml:space="preserve">Apr 7</t>
  </si>
  <si>
    <t xml:space="preserve">Apr 8</t>
  </si>
  <si>
    <t xml:space="preserve">Apr 9</t>
  </si>
  <si>
    <t xml:space="preserve">Apr 10</t>
  </si>
  <si>
    <t xml:space="preserve">Apr 13</t>
  </si>
  <si>
    <t xml:space="preserve">Apr 14</t>
  </si>
  <si>
    <t xml:space="preserve">Apr 15</t>
  </si>
  <si>
    <t xml:space="preserve">Apr 16</t>
  </si>
  <si>
    <t xml:space="preserve">Apr 17</t>
  </si>
  <si>
    <t xml:space="preserve">Apr 20</t>
  </si>
  <si>
    <t xml:space="preserve">Apr 21</t>
  </si>
  <si>
    <t xml:space="preserve">Apr 22</t>
  </si>
  <si>
    <t xml:space="preserve">Apr 23</t>
  </si>
  <si>
    <t xml:space="preserve">Apr 24</t>
  </si>
  <si>
    <t xml:space="preserve">Apr 27</t>
  </si>
  <si>
    <t xml:space="preserve">Apr 28</t>
  </si>
  <si>
    <t xml:space="preserve">Apr 29</t>
  </si>
  <si>
    <t xml:space="preserve">Apr 30</t>
  </si>
  <si>
    <t xml:space="preserve">  ★  APR  TOTAL</t>
  </si>
  <si>
    <t xml:space="preserve">May 1</t>
  </si>
  <si>
    <t xml:space="preserve">May 4</t>
  </si>
  <si>
    <t xml:space="preserve">May 5</t>
  </si>
  <si>
    <t xml:space="preserve">May 6</t>
  </si>
  <si>
    <t xml:space="preserve">May 7</t>
  </si>
  <si>
    <t xml:space="preserve">May 8</t>
  </si>
  <si>
    <t xml:space="preserve">May 11</t>
  </si>
  <si>
    <t xml:space="preserve">May 12</t>
  </si>
  <si>
    <t xml:space="preserve">May 13</t>
  </si>
  <si>
    <t xml:space="preserve">May 14</t>
  </si>
  <si>
    <t xml:space="preserve">May 15</t>
  </si>
  <si>
    <t xml:space="preserve">May 18</t>
  </si>
  <si>
    <t xml:space="preserve">May 19</t>
  </si>
  <si>
    <t xml:space="preserve">May 20</t>
  </si>
  <si>
    <t xml:space="preserve">May 21</t>
  </si>
  <si>
    <t xml:space="preserve">May 22</t>
  </si>
  <si>
    <t xml:space="preserve">May 25</t>
  </si>
  <si>
    <t xml:space="preserve">May 26</t>
  </si>
  <si>
    <t xml:space="preserve">May 27</t>
  </si>
  <si>
    <t xml:space="preserve">May 28</t>
  </si>
  <si>
    <t xml:space="preserve">May 29</t>
  </si>
  <si>
    <t xml:space="preserve">  ★  MAY  TOTAL</t>
  </si>
  <si>
    <t xml:space="preserve">Jun 1</t>
  </si>
  <si>
    <t xml:space="preserve">Jun 2</t>
  </si>
  <si>
    <t xml:space="preserve">Jun 3</t>
  </si>
  <si>
    <t xml:space="preserve">Jun 4</t>
  </si>
  <si>
    <t xml:space="preserve">Jun 5</t>
  </si>
  <si>
    <t xml:space="preserve">Jun 8</t>
  </si>
  <si>
    <t xml:space="preserve">Jun 9</t>
  </si>
  <si>
    <t xml:space="preserve">Jun 10</t>
  </si>
  <si>
    <t xml:space="preserve">Jun 11</t>
  </si>
  <si>
    <t xml:space="preserve">Jun 12</t>
  </si>
  <si>
    <t xml:space="preserve">Jun 15</t>
  </si>
  <si>
    <t xml:space="preserve">Jun 16</t>
  </si>
  <si>
    <t xml:space="preserve">Jun 17</t>
  </si>
  <si>
    <t xml:space="preserve">Jun 18</t>
  </si>
  <si>
    <t xml:space="preserve">Jun 19</t>
  </si>
  <si>
    <t xml:space="preserve">Jun 22</t>
  </si>
  <si>
    <t xml:space="preserve">Jun 23</t>
  </si>
  <si>
    <t xml:space="preserve">Jun 24</t>
  </si>
  <si>
    <t xml:space="preserve">Jun 25</t>
  </si>
  <si>
    <t xml:space="preserve">Jun 26</t>
  </si>
  <si>
    <t xml:space="preserve">Jun 29</t>
  </si>
  <si>
    <t xml:space="preserve">Jun 30</t>
  </si>
  <si>
    <t xml:space="preserve">  ★  JUN  TOTAL</t>
  </si>
  <si>
    <t xml:space="preserve">Jul 1</t>
  </si>
  <si>
    <t xml:space="preserve">Jul 2</t>
  </si>
  <si>
    <t xml:space="preserve">Jul 3</t>
  </si>
  <si>
    <t xml:space="preserve">Jul 6</t>
  </si>
  <si>
    <t xml:space="preserve">Jul 7</t>
  </si>
  <si>
    <t xml:space="preserve">Jul 8</t>
  </si>
  <si>
    <t xml:space="preserve">Jul 9</t>
  </si>
  <si>
    <t xml:space="preserve">Jul 10</t>
  </si>
  <si>
    <t xml:space="preserve">Jul 13</t>
  </si>
  <si>
    <t xml:space="preserve">Jul 14</t>
  </si>
  <si>
    <t xml:space="preserve">Jul 15</t>
  </si>
  <si>
    <t xml:space="preserve">Jul 16</t>
  </si>
  <si>
    <t xml:space="preserve">Jul 17</t>
  </si>
  <si>
    <t xml:space="preserve">Jul 20</t>
  </si>
  <si>
    <t xml:space="preserve">Jul 21</t>
  </si>
  <si>
    <t xml:space="preserve">Jul 22</t>
  </si>
  <si>
    <t xml:space="preserve">Jul 23</t>
  </si>
  <si>
    <t xml:space="preserve">Jul 24</t>
  </si>
  <si>
    <t xml:space="preserve">Jul 27</t>
  </si>
  <si>
    <t xml:space="preserve">Jul 28</t>
  </si>
  <si>
    <t xml:space="preserve">Jul 29</t>
  </si>
  <si>
    <t xml:space="preserve">Jul 30</t>
  </si>
  <si>
    <t xml:space="preserve">Jul 31</t>
  </si>
  <si>
    <t xml:space="preserve">  ★  JUL  TOTAL</t>
  </si>
  <si>
    <t xml:space="preserve">OVERALL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</si>
</sst>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"/>
    <numFmt numFmtId="166" formatCode="\$#,##0;&quot;-$&quot;#,##0;\-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E6A02D"/>
      <name val="Arial"/>
      <family val="0"/>
      <charset val="1"/>
    </font>
    <font>
      <b val="true"/>
      <sz val="7"/>
      <color rgb="FF666666"/>
      <name val="Arial"/>
      <family val="0"/>
      <charset val="1"/>
    </font>
    <font>
      <b val="true"/>
      <sz val="9"/>
      <name val="Cambria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7B74D6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141414"/>
      </patternFill>
    </fill>
    <fill>
      <patternFill patternType="solid">
        <fgColor rgb="FF141414"/>
        <bgColor rgb="FF0E0E0E"/>
      </patternFill>
    </fill>
    <fill>
      <patternFill patternType="solid">
        <fgColor rgb="FF1C1057"/>
        <bgColor rgb="FF14141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C1057"/>
      <rgbColor rgb="FF808000"/>
      <rgbColor rgb="FF800080"/>
      <rgbColor rgb="FF008080"/>
      <rgbColor rgb="FFC0C0C0"/>
      <rgbColor rgb="FF7B74D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003366"/>
      <rgbColor rgb="FF339966"/>
      <rgbColor rgb="FF141414"/>
      <rgbColor rgb="FF0E0E0E"/>
      <rgbColor rgb="FF993300"/>
      <rgbColor rgb="FF993366"/>
      <rgbColor rgb="FF534AB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4" min="3" style="0" width="6"/>
    <col collapsed="false" customWidth="true" hidden="false" outlineLevel="0" max="5" min="5" style="0" width="12"/>
    <col collapsed="false" customWidth="true" hidden="false" outlineLevel="0" max="6" min="6" style="0" width="9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/>
      <c r="B2" s="2"/>
      <c r="C2" s="3" t="s">
        <v>1</v>
      </c>
      <c r="D2" s="3"/>
      <c r="E2" s="4" t="s">
        <v>2</v>
      </c>
      <c r="F2" s="4"/>
    </row>
    <row r="3" customFormat="false" ht="15.7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6"/>
      <c r="F3" s="7" t="s">
        <v>7</v>
      </c>
    </row>
    <row r="4" customFormat="false" ht="13.5" hidden="false" customHeight="true" outlineLevel="0" collapsed="false">
      <c r="A4" s="8" t="s">
        <v>8</v>
      </c>
      <c r="B4" s="8"/>
      <c r="C4" s="8"/>
      <c r="D4" s="8"/>
      <c r="E4" s="8"/>
      <c r="F4" s="8"/>
    </row>
    <row r="5" customFormat="false" ht="15.75" hidden="false" customHeight="true" outlineLevel="0" collapsed="false">
      <c r="A5" s="9" t="s">
        <v>9</v>
      </c>
      <c r="B5" s="10" t="s">
        <v>10</v>
      </c>
      <c r="C5" s="11"/>
      <c r="D5" s="11"/>
      <c r="E5" s="12" t="n">
        <f aca="false">IFERROR(C5*450+D5*-550,0)</f>
        <v>0</v>
      </c>
      <c r="F5" s="6"/>
    </row>
    <row r="6" customFormat="false" ht="15.75" hidden="false" customHeight="true" outlineLevel="0" collapsed="false">
      <c r="A6" s="9" t="s">
        <v>11</v>
      </c>
      <c r="B6" s="10" t="s">
        <v>12</v>
      </c>
      <c r="C6" s="11"/>
      <c r="D6" s="11"/>
      <c r="E6" s="12" t="n">
        <f aca="false">IFERROR(C6*450+D6*-550,0)</f>
        <v>0</v>
      </c>
      <c r="F6" s="6"/>
    </row>
    <row r="7" customFormat="false" ht="15.75" hidden="false" customHeight="true" outlineLevel="0" collapsed="false">
      <c r="A7" s="9" t="s">
        <v>13</v>
      </c>
      <c r="B7" s="10" t="s">
        <v>14</v>
      </c>
      <c r="C7" s="11"/>
      <c r="D7" s="11"/>
      <c r="E7" s="12" t="n">
        <f aca="false">IFERROR(C7*450+D7*-550,0)</f>
        <v>0</v>
      </c>
      <c r="F7" s="6"/>
    </row>
    <row r="8" customFormat="false" ht="15.75" hidden="false" customHeight="true" outlineLevel="0" collapsed="false">
      <c r="A8" s="9" t="s">
        <v>15</v>
      </c>
      <c r="B8" s="10" t="s">
        <v>16</v>
      </c>
      <c r="C8" s="11"/>
      <c r="D8" s="11"/>
      <c r="E8" s="12" t="n">
        <f aca="false">IFERROR(C8*450+D8*-550,0)</f>
        <v>0</v>
      </c>
      <c r="F8" s="6"/>
    </row>
    <row r="9" customFormat="false" ht="15.75" hidden="false" customHeight="true" outlineLevel="0" collapsed="false">
      <c r="A9" s="9" t="s">
        <v>17</v>
      </c>
      <c r="B9" s="10" t="s">
        <v>18</v>
      </c>
      <c r="C9" s="11"/>
      <c r="D9" s="11"/>
      <c r="E9" s="12" t="n">
        <f aca="false">IFERROR(C9*450+D9*-550,0)</f>
        <v>0</v>
      </c>
      <c r="F9" s="6"/>
    </row>
    <row r="10" customFormat="false" ht="15.75" hidden="false" customHeight="true" outlineLevel="0" collapsed="false">
      <c r="A10" s="9" t="s">
        <v>19</v>
      </c>
      <c r="B10" s="10" t="s">
        <v>10</v>
      </c>
      <c r="C10" s="11"/>
      <c r="D10" s="11"/>
      <c r="E10" s="12" t="n">
        <f aca="false">IFERROR(C10*450+D10*-550,0)</f>
        <v>0</v>
      </c>
      <c r="F10" s="6"/>
    </row>
    <row r="11" customFormat="false" ht="15.75" hidden="false" customHeight="true" outlineLevel="0" collapsed="false">
      <c r="A11" s="9" t="s">
        <v>20</v>
      </c>
      <c r="B11" s="10" t="s">
        <v>12</v>
      </c>
      <c r="C11" s="11"/>
      <c r="D11" s="11"/>
      <c r="E11" s="12" t="n">
        <f aca="false">IFERROR(C11*450+D11*-550,0)</f>
        <v>0</v>
      </c>
      <c r="F11" s="6"/>
    </row>
    <row r="12" customFormat="false" ht="15.75" hidden="false" customHeight="true" outlineLevel="0" collapsed="false">
      <c r="A12" s="9" t="s">
        <v>21</v>
      </c>
      <c r="B12" s="10" t="s">
        <v>14</v>
      </c>
      <c r="C12" s="11"/>
      <c r="D12" s="11"/>
      <c r="E12" s="12" t="n">
        <f aca="false">IFERROR(C12*450+D12*-550,0)</f>
        <v>0</v>
      </c>
      <c r="F12" s="6"/>
    </row>
    <row r="13" customFormat="false" ht="15.75" hidden="false" customHeight="true" outlineLevel="0" collapsed="false">
      <c r="A13" s="9" t="s">
        <v>22</v>
      </c>
      <c r="B13" s="10" t="s">
        <v>16</v>
      </c>
      <c r="C13" s="11"/>
      <c r="D13" s="11"/>
      <c r="E13" s="12" t="n">
        <f aca="false">IFERROR(C13*450+D13*-550,0)</f>
        <v>0</v>
      </c>
      <c r="F13" s="6"/>
    </row>
    <row r="14" customFormat="false" ht="15.75" hidden="false" customHeight="true" outlineLevel="0" collapsed="false">
      <c r="A14" s="9" t="s">
        <v>23</v>
      </c>
      <c r="B14" s="10" t="s">
        <v>18</v>
      </c>
      <c r="C14" s="11"/>
      <c r="D14" s="11"/>
      <c r="E14" s="12" t="n">
        <f aca="false">IFERROR(C14*450+D14*-550,0)</f>
        <v>0</v>
      </c>
      <c r="F14" s="6"/>
    </row>
    <row r="15" customFormat="false" ht="15.75" hidden="false" customHeight="true" outlineLevel="0" collapsed="false">
      <c r="A15" s="9" t="s">
        <v>24</v>
      </c>
      <c r="B15" s="10" t="s">
        <v>10</v>
      </c>
      <c r="C15" s="11"/>
      <c r="D15" s="11"/>
      <c r="E15" s="12" t="n">
        <f aca="false">IFERROR(C15*450+D15*-550,0)</f>
        <v>0</v>
      </c>
      <c r="F15" s="6"/>
    </row>
    <row r="16" customFormat="false" ht="15.75" hidden="false" customHeight="true" outlineLevel="0" collapsed="false">
      <c r="A16" s="9" t="s">
        <v>25</v>
      </c>
      <c r="B16" s="10" t="s">
        <v>12</v>
      </c>
      <c r="C16" s="11"/>
      <c r="D16" s="11"/>
      <c r="E16" s="12" t="n">
        <f aca="false">IFERROR(C16*450+D16*-550,0)</f>
        <v>0</v>
      </c>
      <c r="F16" s="6"/>
    </row>
    <row r="17" customFormat="false" ht="15.75" hidden="false" customHeight="true" outlineLevel="0" collapsed="false">
      <c r="A17" s="9" t="s">
        <v>26</v>
      </c>
      <c r="B17" s="10" t="s">
        <v>14</v>
      </c>
      <c r="C17" s="11"/>
      <c r="D17" s="11"/>
      <c r="E17" s="12" t="n">
        <f aca="false">IFERROR(C17*450+D17*-550,0)</f>
        <v>0</v>
      </c>
      <c r="F17" s="6"/>
    </row>
    <row r="18" customFormat="false" ht="15.75" hidden="false" customHeight="true" outlineLevel="0" collapsed="false">
      <c r="A18" s="9" t="s">
        <v>27</v>
      </c>
      <c r="B18" s="10" t="s">
        <v>16</v>
      </c>
      <c r="C18" s="11"/>
      <c r="D18" s="11"/>
      <c r="E18" s="12" t="n">
        <f aca="false">IFERROR(C18*450+D18*-550,0)</f>
        <v>0</v>
      </c>
      <c r="F18" s="6"/>
    </row>
    <row r="19" customFormat="false" ht="15.75" hidden="false" customHeight="true" outlineLevel="0" collapsed="false">
      <c r="A19" s="9" t="s">
        <v>28</v>
      </c>
      <c r="B19" s="10" t="s">
        <v>18</v>
      </c>
      <c r="C19" s="11"/>
      <c r="D19" s="11"/>
      <c r="E19" s="12" t="n">
        <f aca="false">IFERROR(C19*450+D19*-550,0)</f>
        <v>0</v>
      </c>
      <c r="F19" s="6"/>
    </row>
    <row r="20" customFormat="false" ht="15.75" hidden="false" customHeight="true" outlineLevel="0" collapsed="false">
      <c r="A20" s="9" t="s">
        <v>29</v>
      </c>
      <c r="B20" s="10" t="s">
        <v>10</v>
      </c>
      <c r="C20" s="11"/>
      <c r="D20" s="11"/>
      <c r="E20" s="12" t="n">
        <f aca="false">IFERROR(C20*450+D20*-550,0)</f>
        <v>0</v>
      </c>
      <c r="F20" s="6"/>
    </row>
    <row r="21" customFormat="false" ht="15.75" hidden="false" customHeight="true" outlineLevel="0" collapsed="false">
      <c r="A21" s="9" t="s">
        <v>30</v>
      </c>
      <c r="B21" s="10" t="s">
        <v>12</v>
      </c>
      <c r="C21" s="11"/>
      <c r="D21" s="11"/>
      <c r="E21" s="12" t="n">
        <f aca="false">IFERROR(C21*450+D21*-550,0)</f>
        <v>0</v>
      </c>
      <c r="F21" s="6"/>
    </row>
    <row r="22" customFormat="false" ht="15.75" hidden="false" customHeight="true" outlineLevel="0" collapsed="false">
      <c r="A22" s="9" t="s">
        <v>31</v>
      </c>
      <c r="B22" s="10" t="s">
        <v>14</v>
      </c>
      <c r="C22" s="11"/>
      <c r="D22" s="11"/>
      <c r="E22" s="12" t="n">
        <f aca="false">IFERROR(C22*450+D22*-550,0)</f>
        <v>0</v>
      </c>
      <c r="F22" s="6"/>
    </row>
    <row r="23" customFormat="false" ht="15.75" hidden="false" customHeight="true" outlineLevel="0" collapsed="false">
      <c r="A23" s="9" t="s">
        <v>32</v>
      </c>
      <c r="B23" s="10" t="s">
        <v>16</v>
      </c>
      <c r="C23" s="11"/>
      <c r="D23" s="11"/>
      <c r="E23" s="12" t="n">
        <f aca="false">IFERROR(C23*450+D23*-550,0)</f>
        <v>0</v>
      </c>
      <c r="F23" s="6"/>
    </row>
    <row r="24" customFormat="false" ht="15.75" hidden="false" customHeight="true" outlineLevel="0" collapsed="false">
      <c r="A24" s="9" t="s">
        <v>33</v>
      </c>
      <c r="B24" s="10" t="s">
        <v>18</v>
      </c>
      <c r="C24" s="11"/>
      <c r="D24" s="11"/>
      <c r="E24" s="12" t="n">
        <f aca="false">IFERROR(C24*450+D24*-550,0)</f>
        <v>0</v>
      </c>
      <c r="F24" s="6"/>
    </row>
    <row r="25" customFormat="false" ht="18" hidden="false" customHeight="true" outlineLevel="0" collapsed="false">
      <c r="A25" s="13" t="s">
        <v>34</v>
      </c>
      <c r="B25" s="14"/>
      <c r="C25" s="15" t="n">
        <f aca="false">SUM(C5:C24)</f>
        <v>0</v>
      </c>
      <c r="D25" s="15" t="n">
        <f aca="false">SUM(D5:D24)</f>
        <v>0</v>
      </c>
      <c r="E25" s="16" t="n">
        <f aca="false">SUM(E5:E24)</f>
        <v>0</v>
      </c>
      <c r="F25" s="17" t="n">
        <f aca="false">IFERROR(C25/(C25+D25),0)</f>
        <v>0</v>
      </c>
    </row>
    <row r="26" customFormat="false" ht="15.75" hidden="false" customHeight="true" outlineLevel="0" collapsed="false">
      <c r="A26" s="9" t="s">
        <v>35</v>
      </c>
      <c r="B26" s="10" t="s">
        <v>10</v>
      </c>
      <c r="C26" s="11"/>
      <c r="D26" s="11"/>
      <c r="E26" s="12" t="n">
        <f aca="false">IFERROR(C26*450+D26*-550,0)</f>
        <v>0</v>
      </c>
      <c r="F26" s="6"/>
    </row>
    <row r="27" customFormat="false" ht="15.75" hidden="false" customHeight="true" outlineLevel="0" collapsed="false">
      <c r="A27" s="9" t="s">
        <v>36</v>
      </c>
      <c r="B27" s="10" t="s">
        <v>12</v>
      </c>
      <c r="C27" s="11"/>
      <c r="D27" s="11"/>
      <c r="E27" s="12" t="n">
        <f aca="false">IFERROR(C27*450+D27*-550,0)</f>
        <v>0</v>
      </c>
      <c r="F27" s="6"/>
    </row>
    <row r="28" customFormat="false" ht="15.75" hidden="false" customHeight="true" outlineLevel="0" collapsed="false">
      <c r="A28" s="9" t="s">
        <v>37</v>
      </c>
      <c r="B28" s="10" t="s">
        <v>14</v>
      </c>
      <c r="C28" s="11"/>
      <c r="D28" s="11"/>
      <c r="E28" s="12" t="n">
        <f aca="false">IFERROR(C28*450+D28*-550,0)</f>
        <v>0</v>
      </c>
      <c r="F28" s="6"/>
    </row>
    <row r="29" customFormat="false" ht="15.75" hidden="false" customHeight="true" outlineLevel="0" collapsed="false">
      <c r="A29" s="9" t="s">
        <v>38</v>
      </c>
      <c r="B29" s="10" t="s">
        <v>16</v>
      </c>
      <c r="C29" s="11"/>
      <c r="D29" s="11"/>
      <c r="E29" s="12" t="n">
        <f aca="false">IFERROR(C29*450+D29*-550,0)</f>
        <v>0</v>
      </c>
      <c r="F29" s="6"/>
    </row>
    <row r="30" customFormat="false" ht="15.75" hidden="false" customHeight="true" outlineLevel="0" collapsed="false">
      <c r="A30" s="9" t="s">
        <v>39</v>
      </c>
      <c r="B30" s="10" t="s">
        <v>18</v>
      </c>
      <c r="C30" s="11"/>
      <c r="D30" s="11"/>
      <c r="E30" s="12" t="n">
        <f aca="false">IFERROR(C30*450+D30*-550,0)</f>
        <v>0</v>
      </c>
      <c r="F30" s="6"/>
    </row>
    <row r="31" customFormat="false" ht="15.75" hidden="false" customHeight="true" outlineLevel="0" collapsed="false">
      <c r="A31" s="9" t="s">
        <v>40</v>
      </c>
      <c r="B31" s="10" t="s">
        <v>10</v>
      </c>
      <c r="C31" s="11"/>
      <c r="D31" s="11"/>
      <c r="E31" s="12" t="n">
        <f aca="false">IFERROR(C31*450+D31*-550,0)</f>
        <v>0</v>
      </c>
      <c r="F31" s="6"/>
    </row>
    <row r="32" customFormat="false" ht="15.75" hidden="false" customHeight="true" outlineLevel="0" collapsed="false">
      <c r="A32" s="9" t="s">
        <v>41</v>
      </c>
      <c r="B32" s="10" t="s">
        <v>12</v>
      </c>
      <c r="C32" s="11"/>
      <c r="D32" s="11"/>
      <c r="E32" s="12" t="n">
        <f aca="false">IFERROR(C32*450+D32*-550,0)</f>
        <v>0</v>
      </c>
      <c r="F32" s="6"/>
    </row>
    <row r="33" customFormat="false" ht="15.75" hidden="false" customHeight="true" outlineLevel="0" collapsed="false">
      <c r="A33" s="9" t="s">
        <v>42</v>
      </c>
      <c r="B33" s="10" t="s">
        <v>14</v>
      </c>
      <c r="C33" s="11"/>
      <c r="D33" s="11"/>
      <c r="E33" s="12" t="n">
        <f aca="false">IFERROR(C33*450+D33*-550,0)</f>
        <v>0</v>
      </c>
      <c r="F33" s="6"/>
    </row>
    <row r="34" customFormat="false" ht="15.75" hidden="false" customHeight="true" outlineLevel="0" collapsed="false">
      <c r="A34" s="9" t="s">
        <v>43</v>
      </c>
      <c r="B34" s="10" t="s">
        <v>16</v>
      </c>
      <c r="C34" s="11"/>
      <c r="D34" s="11"/>
      <c r="E34" s="12" t="n">
        <f aca="false">IFERROR(C34*450+D34*-550,0)</f>
        <v>0</v>
      </c>
      <c r="F34" s="6"/>
    </row>
    <row r="35" customFormat="false" ht="15.75" hidden="false" customHeight="true" outlineLevel="0" collapsed="false">
      <c r="A35" s="9" t="s">
        <v>44</v>
      </c>
      <c r="B35" s="10" t="s">
        <v>18</v>
      </c>
      <c r="C35" s="11"/>
      <c r="D35" s="11"/>
      <c r="E35" s="12" t="n">
        <f aca="false">IFERROR(C35*450+D35*-550,0)</f>
        <v>0</v>
      </c>
      <c r="F35" s="6"/>
    </row>
    <row r="36" customFormat="false" ht="15.75" hidden="false" customHeight="true" outlineLevel="0" collapsed="false">
      <c r="A36" s="9" t="s">
        <v>45</v>
      </c>
      <c r="B36" s="10" t="s">
        <v>10</v>
      </c>
      <c r="C36" s="11"/>
      <c r="D36" s="11"/>
      <c r="E36" s="12" t="n">
        <f aca="false">IFERROR(C36*450+D36*-550,0)</f>
        <v>0</v>
      </c>
      <c r="F36" s="6"/>
    </row>
    <row r="37" customFormat="false" ht="15.75" hidden="false" customHeight="true" outlineLevel="0" collapsed="false">
      <c r="A37" s="9" t="s">
        <v>46</v>
      </c>
      <c r="B37" s="10" t="s">
        <v>12</v>
      </c>
      <c r="C37" s="11"/>
      <c r="D37" s="11"/>
      <c r="E37" s="12" t="n">
        <f aca="false">IFERROR(C37*450+D37*-550,0)</f>
        <v>0</v>
      </c>
      <c r="F37" s="6"/>
    </row>
    <row r="38" customFormat="false" ht="15.75" hidden="false" customHeight="true" outlineLevel="0" collapsed="false">
      <c r="A38" s="9" t="s">
        <v>47</v>
      </c>
      <c r="B38" s="10" t="s">
        <v>14</v>
      </c>
      <c r="C38" s="11"/>
      <c r="D38" s="11"/>
      <c r="E38" s="12" t="n">
        <f aca="false">IFERROR(C38*450+D38*-550,0)</f>
        <v>0</v>
      </c>
      <c r="F38" s="6"/>
    </row>
    <row r="39" customFormat="false" ht="15.75" hidden="false" customHeight="true" outlineLevel="0" collapsed="false">
      <c r="A39" s="9" t="s">
        <v>48</v>
      </c>
      <c r="B39" s="10" t="s">
        <v>16</v>
      </c>
      <c r="C39" s="11"/>
      <c r="D39" s="11"/>
      <c r="E39" s="12" t="n">
        <f aca="false">IFERROR(C39*450+D39*-550,0)</f>
        <v>0</v>
      </c>
      <c r="F39" s="6"/>
    </row>
    <row r="40" customFormat="false" ht="15.75" hidden="false" customHeight="true" outlineLevel="0" collapsed="false">
      <c r="A40" s="9" t="s">
        <v>49</v>
      </c>
      <c r="B40" s="10" t="s">
        <v>18</v>
      </c>
      <c r="C40" s="11"/>
      <c r="D40" s="11"/>
      <c r="E40" s="12" t="n">
        <f aca="false">IFERROR(C40*450+D40*-550,0)</f>
        <v>0</v>
      </c>
      <c r="F40" s="6"/>
    </row>
    <row r="41" customFormat="false" ht="15.75" hidden="false" customHeight="true" outlineLevel="0" collapsed="false">
      <c r="A41" s="9" t="s">
        <v>50</v>
      </c>
      <c r="B41" s="10" t="s">
        <v>10</v>
      </c>
      <c r="C41" s="11"/>
      <c r="D41" s="11"/>
      <c r="E41" s="12" t="n">
        <f aca="false">IFERROR(C41*450+D41*-550,0)</f>
        <v>0</v>
      </c>
      <c r="F41" s="6"/>
    </row>
    <row r="42" customFormat="false" ht="15.75" hidden="false" customHeight="true" outlineLevel="0" collapsed="false">
      <c r="A42" s="9" t="s">
        <v>51</v>
      </c>
      <c r="B42" s="10" t="s">
        <v>12</v>
      </c>
      <c r="C42" s="11"/>
      <c r="D42" s="11"/>
      <c r="E42" s="12" t="n">
        <f aca="false">IFERROR(C42*450+D42*-550,0)</f>
        <v>0</v>
      </c>
      <c r="F42" s="6"/>
    </row>
    <row r="43" customFormat="false" ht="15.75" hidden="false" customHeight="true" outlineLevel="0" collapsed="false">
      <c r="A43" s="9" t="s">
        <v>52</v>
      </c>
      <c r="B43" s="10" t="s">
        <v>14</v>
      </c>
      <c r="C43" s="11"/>
      <c r="D43" s="11"/>
      <c r="E43" s="12" t="n">
        <f aca="false">IFERROR(C43*450+D43*-550,0)</f>
        <v>0</v>
      </c>
      <c r="F43" s="6"/>
    </row>
    <row r="44" customFormat="false" ht="15.75" hidden="false" customHeight="true" outlineLevel="0" collapsed="false">
      <c r="A44" s="9" t="s">
        <v>53</v>
      </c>
      <c r="B44" s="10" t="s">
        <v>16</v>
      </c>
      <c r="C44" s="11"/>
      <c r="D44" s="11"/>
      <c r="E44" s="12" t="n">
        <f aca="false">IFERROR(C44*450+D44*-550,0)</f>
        <v>0</v>
      </c>
      <c r="F44" s="6"/>
    </row>
    <row r="45" customFormat="false" ht="15.75" hidden="false" customHeight="true" outlineLevel="0" collapsed="false">
      <c r="A45" s="9" t="s">
        <v>54</v>
      </c>
      <c r="B45" s="10" t="s">
        <v>18</v>
      </c>
      <c r="C45" s="11"/>
      <c r="D45" s="11"/>
      <c r="E45" s="12" t="n">
        <f aca="false">IFERROR(C45*450+D45*-550,0)</f>
        <v>0</v>
      </c>
      <c r="F45" s="6"/>
    </row>
    <row r="46" customFormat="false" ht="15.75" hidden="false" customHeight="true" outlineLevel="0" collapsed="false">
      <c r="A46" s="9" t="s">
        <v>55</v>
      </c>
      <c r="B46" s="10" t="s">
        <v>10</v>
      </c>
      <c r="C46" s="11"/>
      <c r="D46" s="11"/>
      <c r="E46" s="12" t="n">
        <f aca="false">IFERROR(C46*450+D46*-550,0)</f>
        <v>0</v>
      </c>
      <c r="F46" s="6"/>
    </row>
    <row r="47" customFormat="false" ht="15.75" hidden="false" customHeight="true" outlineLevel="0" collapsed="false">
      <c r="A47" s="9" t="s">
        <v>56</v>
      </c>
      <c r="B47" s="10" t="s">
        <v>12</v>
      </c>
      <c r="C47" s="11"/>
      <c r="D47" s="11"/>
      <c r="E47" s="12" t="n">
        <f aca="false">IFERROR(C47*450+D47*-550,0)</f>
        <v>0</v>
      </c>
      <c r="F47" s="6"/>
    </row>
    <row r="48" customFormat="false" ht="18" hidden="false" customHeight="true" outlineLevel="0" collapsed="false">
      <c r="A48" s="13" t="s">
        <v>57</v>
      </c>
      <c r="B48" s="14"/>
      <c r="C48" s="15" t="n">
        <f aca="false">SUM(C26:C47)</f>
        <v>0</v>
      </c>
      <c r="D48" s="15" t="n">
        <f aca="false">SUM(D26:D47)</f>
        <v>0</v>
      </c>
      <c r="E48" s="16" t="n">
        <f aca="false">SUM(E26:E47)</f>
        <v>0</v>
      </c>
      <c r="F48" s="17" t="n">
        <f aca="false">IFERROR(C48/(C48+D48),0)</f>
        <v>0</v>
      </c>
    </row>
    <row r="49" customFormat="false" ht="15.75" hidden="false" customHeight="true" outlineLevel="0" collapsed="false">
      <c r="A49" s="9" t="s">
        <v>58</v>
      </c>
      <c r="B49" s="10" t="s">
        <v>14</v>
      </c>
      <c r="C49" s="11"/>
      <c r="D49" s="11"/>
      <c r="E49" s="12" t="n">
        <f aca="false">IFERROR(C49*450+D49*-550,0)</f>
        <v>0</v>
      </c>
      <c r="F49" s="6"/>
    </row>
    <row r="50" customFormat="false" ht="15.75" hidden="false" customHeight="true" outlineLevel="0" collapsed="false">
      <c r="A50" s="9" t="s">
        <v>59</v>
      </c>
      <c r="B50" s="10" t="s">
        <v>16</v>
      </c>
      <c r="C50" s="11"/>
      <c r="D50" s="11"/>
      <c r="E50" s="12" t="n">
        <f aca="false">IFERROR(C50*450+D50*-550,0)</f>
        <v>0</v>
      </c>
      <c r="F50" s="6"/>
    </row>
    <row r="51" customFormat="false" ht="15.75" hidden="false" customHeight="true" outlineLevel="0" collapsed="false">
      <c r="A51" s="9" t="s">
        <v>60</v>
      </c>
      <c r="B51" s="10" t="s">
        <v>18</v>
      </c>
      <c r="C51" s="11"/>
      <c r="D51" s="11"/>
      <c r="E51" s="12" t="n">
        <f aca="false">IFERROR(C51*450+D51*-550,0)</f>
        <v>0</v>
      </c>
      <c r="F51" s="6"/>
    </row>
    <row r="52" customFormat="false" ht="15.75" hidden="false" customHeight="true" outlineLevel="0" collapsed="false">
      <c r="A52" s="9" t="s">
        <v>61</v>
      </c>
      <c r="B52" s="10" t="s">
        <v>10</v>
      </c>
      <c r="C52" s="11"/>
      <c r="D52" s="11"/>
      <c r="E52" s="12" t="n">
        <f aca="false">IFERROR(C52*450+D52*-550,0)</f>
        <v>0</v>
      </c>
      <c r="F52" s="6"/>
    </row>
    <row r="53" customFormat="false" ht="15.75" hidden="false" customHeight="true" outlineLevel="0" collapsed="false">
      <c r="A53" s="9" t="s">
        <v>62</v>
      </c>
      <c r="B53" s="10" t="s">
        <v>12</v>
      </c>
      <c r="C53" s="11"/>
      <c r="D53" s="11"/>
      <c r="E53" s="12" t="n">
        <f aca="false">IFERROR(C53*450+D53*-550,0)</f>
        <v>0</v>
      </c>
      <c r="F53" s="6"/>
    </row>
    <row r="54" customFormat="false" ht="15.75" hidden="false" customHeight="true" outlineLevel="0" collapsed="false">
      <c r="A54" s="9" t="s">
        <v>63</v>
      </c>
      <c r="B54" s="10" t="s">
        <v>14</v>
      </c>
      <c r="C54" s="11"/>
      <c r="D54" s="11"/>
      <c r="E54" s="12" t="n">
        <f aca="false">IFERROR(C54*450+D54*-550,0)</f>
        <v>0</v>
      </c>
      <c r="F54" s="6"/>
    </row>
    <row r="55" customFormat="false" ht="15.75" hidden="false" customHeight="true" outlineLevel="0" collapsed="false">
      <c r="A55" s="9" t="s">
        <v>64</v>
      </c>
      <c r="B55" s="10" t="s">
        <v>16</v>
      </c>
      <c r="C55" s="11"/>
      <c r="D55" s="11"/>
      <c r="E55" s="12" t="n">
        <f aca="false">IFERROR(C55*450+D55*-550,0)</f>
        <v>0</v>
      </c>
      <c r="F55" s="6"/>
    </row>
    <row r="56" customFormat="false" ht="15.75" hidden="false" customHeight="true" outlineLevel="0" collapsed="false">
      <c r="A56" s="9" t="s">
        <v>65</v>
      </c>
      <c r="B56" s="10" t="s">
        <v>18</v>
      </c>
      <c r="C56" s="11"/>
      <c r="D56" s="11"/>
      <c r="E56" s="12" t="n">
        <f aca="false">IFERROR(C56*450+D56*-550,0)</f>
        <v>0</v>
      </c>
      <c r="F56" s="6"/>
    </row>
    <row r="57" customFormat="false" ht="15.75" hidden="false" customHeight="true" outlineLevel="0" collapsed="false">
      <c r="A57" s="9" t="s">
        <v>66</v>
      </c>
      <c r="B57" s="10" t="s">
        <v>10</v>
      </c>
      <c r="C57" s="11"/>
      <c r="D57" s="11"/>
      <c r="E57" s="12" t="n">
        <f aca="false">IFERROR(C57*450+D57*-550,0)</f>
        <v>0</v>
      </c>
      <c r="F57" s="6"/>
    </row>
    <row r="58" customFormat="false" ht="15.75" hidden="false" customHeight="true" outlineLevel="0" collapsed="false">
      <c r="A58" s="9" t="s">
        <v>67</v>
      </c>
      <c r="B58" s="10" t="s">
        <v>12</v>
      </c>
      <c r="C58" s="11"/>
      <c r="D58" s="11"/>
      <c r="E58" s="12" t="n">
        <f aca="false">IFERROR(C58*450+D58*-550,0)</f>
        <v>0</v>
      </c>
      <c r="F58" s="6"/>
    </row>
    <row r="59" customFormat="false" ht="15.75" hidden="false" customHeight="true" outlineLevel="0" collapsed="false">
      <c r="A59" s="9" t="s">
        <v>68</v>
      </c>
      <c r="B59" s="10" t="s">
        <v>14</v>
      </c>
      <c r="C59" s="11"/>
      <c r="D59" s="11"/>
      <c r="E59" s="12" t="n">
        <f aca="false">IFERROR(C59*450+D59*-550,0)</f>
        <v>0</v>
      </c>
      <c r="F59" s="6"/>
    </row>
    <row r="60" customFormat="false" ht="15.75" hidden="false" customHeight="true" outlineLevel="0" collapsed="false">
      <c r="A60" s="9" t="s">
        <v>69</v>
      </c>
      <c r="B60" s="10" t="s">
        <v>16</v>
      </c>
      <c r="C60" s="11"/>
      <c r="D60" s="11"/>
      <c r="E60" s="12" t="n">
        <f aca="false">IFERROR(C60*450+D60*-550,0)</f>
        <v>0</v>
      </c>
      <c r="F60" s="6"/>
    </row>
    <row r="61" customFormat="false" ht="15.75" hidden="false" customHeight="true" outlineLevel="0" collapsed="false">
      <c r="A61" s="9" t="s">
        <v>70</v>
      </c>
      <c r="B61" s="10" t="s">
        <v>18</v>
      </c>
      <c r="C61" s="11"/>
      <c r="D61" s="11"/>
      <c r="E61" s="12" t="n">
        <f aca="false">IFERROR(C61*450+D61*-550,0)</f>
        <v>0</v>
      </c>
      <c r="F61" s="6"/>
    </row>
    <row r="62" customFormat="false" ht="15.75" hidden="false" customHeight="true" outlineLevel="0" collapsed="false">
      <c r="A62" s="9" t="s">
        <v>71</v>
      </c>
      <c r="B62" s="10" t="s">
        <v>10</v>
      </c>
      <c r="C62" s="11"/>
      <c r="D62" s="11"/>
      <c r="E62" s="12" t="n">
        <f aca="false">IFERROR(C62*450+D62*-550,0)</f>
        <v>0</v>
      </c>
      <c r="F62" s="6"/>
    </row>
    <row r="63" customFormat="false" ht="15.75" hidden="false" customHeight="true" outlineLevel="0" collapsed="false">
      <c r="A63" s="9" t="s">
        <v>72</v>
      </c>
      <c r="B63" s="10" t="s">
        <v>12</v>
      </c>
      <c r="C63" s="11"/>
      <c r="D63" s="11"/>
      <c r="E63" s="12" t="n">
        <f aca="false">IFERROR(C63*450+D63*-550,0)</f>
        <v>0</v>
      </c>
      <c r="F63" s="6"/>
    </row>
    <row r="64" customFormat="false" ht="15.75" hidden="false" customHeight="true" outlineLevel="0" collapsed="false">
      <c r="A64" s="9" t="s">
        <v>73</v>
      </c>
      <c r="B64" s="10" t="s">
        <v>14</v>
      </c>
      <c r="C64" s="11"/>
      <c r="D64" s="11"/>
      <c r="E64" s="12" t="n">
        <f aca="false">IFERROR(C64*450+D64*-550,0)</f>
        <v>0</v>
      </c>
      <c r="F64" s="6"/>
    </row>
    <row r="65" customFormat="false" ht="15.75" hidden="false" customHeight="true" outlineLevel="0" collapsed="false">
      <c r="A65" s="9" t="s">
        <v>74</v>
      </c>
      <c r="B65" s="10" t="s">
        <v>16</v>
      </c>
      <c r="C65" s="11"/>
      <c r="D65" s="11"/>
      <c r="E65" s="12" t="n">
        <f aca="false">IFERROR(C65*450+D65*-550,0)</f>
        <v>0</v>
      </c>
      <c r="F65" s="6"/>
    </row>
    <row r="66" customFormat="false" ht="15.75" hidden="false" customHeight="true" outlineLevel="0" collapsed="false">
      <c r="A66" s="9" t="s">
        <v>75</v>
      </c>
      <c r="B66" s="10" t="s">
        <v>18</v>
      </c>
      <c r="C66" s="11"/>
      <c r="D66" s="11"/>
      <c r="E66" s="12" t="n">
        <f aca="false">IFERROR(C66*450+D66*-550,0)</f>
        <v>0</v>
      </c>
      <c r="F66" s="6"/>
    </row>
    <row r="67" customFormat="false" ht="15.75" hidden="false" customHeight="true" outlineLevel="0" collapsed="false">
      <c r="A67" s="9" t="s">
        <v>76</v>
      </c>
      <c r="B67" s="10" t="s">
        <v>10</v>
      </c>
      <c r="C67" s="11"/>
      <c r="D67" s="11"/>
      <c r="E67" s="12" t="n">
        <f aca="false">IFERROR(C67*450+D67*-550,0)</f>
        <v>0</v>
      </c>
      <c r="F67" s="6"/>
    </row>
    <row r="68" customFormat="false" ht="15.75" hidden="false" customHeight="true" outlineLevel="0" collapsed="false">
      <c r="A68" s="9" t="s">
        <v>77</v>
      </c>
      <c r="B68" s="10" t="s">
        <v>12</v>
      </c>
      <c r="C68" s="11"/>
      <c r="D68" s="11"/>
      <c r="E68" s="12" t="n">
        <f aca="false">IFERROR(C68*450+D68*-550,0)</f>
        <v>0</v>
      </c>
      <c r="F68" s="6"/>
    </row>
    <row r="69" customFormat="false" ht="15.75" hidden="false" customHeight="true" outlineLevel="0" collapsed="false">
      <c r="A69" s="9" t="s">
        <v>78</v>
      </c>
      <c r="B69" s="10" t="s">
        <v>14</v>
      </c>
      <c r="C69" s="11"/>
      <c r="D69" s="11"/>
      <c r="E69" s="12" t="n">
        <f aca="false">IFERROR(C69*450+D69*-550,0)</f>
        <v>0</v>
      </c>
      <c r="F69" s="6"/>
    </row>
    <row r="70" customFormat="false" ht="15.75" hidden="false" customHeight="true" outlineLevel="0" collapsed="false">
      <c r="A70" s="9" t="s">
        <v>79</v>
      </c>
      <c r="B70" s="10" t="s">
        <v>16</v>
      </c>
      <c r="C70" s="11"/>
      <c r="D70" s="11"/>
      <c r="E70" s="12" t="n">
        <f aca="false">IFERROR(C70*450+D70*-550,0)</f>
        <v>0</v>
      </c>
      <c r="F70" s="6"/>
    </row>
    <row r="71" customFormat="false" ht="18" hidden="false" customHeight="true" outlineLevel="0" collapsed="false">
      <c r="A71" s="13" t="s">
        <v>80</v>
      </c>
      <c r="B71" s="14"/>
      <c r="C71" s="15" t="n">
        <f aca="false">SUM(C49:C70)</f>
        <v>0</v>
      </c>
      <c r="D71" s="15" t="n">
        <f aca="false">SUM(D49:D70)</f>
        <v>0</v>
      </c>
      <c r="E71" s="16" t="n">
        <f aca="false">SUM(E49:E70)</f>
        <v>0</v>
      </c>
      <c r="F71" s="17" t="n">
        <f aca="false">IFERROR(C71/(C71+D71),0)</f>
        <v>0</v>
      </c>
    </row>
    <row r="72" customFormat="false" ht="15.75" hidden="false" customHeight="true" outlineLevel="0" collapsed="false">
      <c r="A72" s="9" t="s">
        <v>81</v>
      </c>
      <c r="B72" s="10" t="s">
        <v>18</v>
      </c>
      <c r="C72" s="11"/>
      <c r="D72" s="11"/>
      <c r="E72" s="12" t="n">
        <f aca="false">IFERROR(C72*450+D72*-550,0)</f>
        <v>0</v>
      </c>
      <c r="F72" s="6"/>
    </row>
    <row r="73" customFormat="false" ht="15.75" hidden="false" customHeight="true" outlineLevel="0" collapsed="false">
      <c r="A73" s="9" t="s">
        <v>82</v>
      </c>
      <c r="B73" s="10" t="s">
        <v>10</v>
      </c>
      <c r="C73" s="11"/>
      <c r="D73" s="11"/>
      <c r="E73" s="12" t="n">
        <f aca="false">IFERROR(C73*450+D73*-550,0)</f>
        <v>0</v>
      </c>
      <c r="F73" s="6"/>
    </row>
    <row r="74" customFormat="false" ht="15.75" hidden="false" customHeight="true" outlineLevel="0" collapsed="false">
      <c r="A74" s="9" t="s">
        <v>83</v>
      </c>
      <c r="B74" s="10" t="s">
        <v>12</v>
      </c>
      <c r="C74" s="11"/>
      <c r="D74" s="11"/>
      <c r="E74" s="12" t="n">
        <f aca="false">IFERROR(C74*450+D74*-550,0)</f>
        <v>0</v>
      </c>
      <c r="F74" s="6"/>
    </row>
    <row r="75" customFormat="false" ht="15.75" hidden="false" customHeight="true" outlineLevel="0" collapsed="false">
      <c r="A75" s="9" t="s">
        <v>84</v>
      </c>
      <c r="B75" s="10" t="s">
        <v>14</v>
      </c>
      <c r="C75" s="11"/>
      <c r="D75" s="11"/>
      <c r="E75" s="12" t="n">
        <f aca="false">IFERROR(C75*450+D75*-550,0)</f>
        <v>0</v>
      </c>
      <c r="F75" s="6"/>
    </row>
    <row r="76" customFormat="false" ht="15.75" hidden="false" customHeight="true" outlineLevel="0" collapsed="false">
      <c r="A76" s="9" t="s">
        <v>85</v>
      </c>
      <c r="B76" s="10" t="s">
        <v>16</v>
      </c>
      <c r="C76" s="11"/>
      <c r="D76" s="11"/>
      <c r="E76" s="12" t="n">
        <f aca="false">IFERROR(C76*450+D76*-550,0)</f>
        <v>0</v>
      </c>
      <c r="F76" s="6"/>
    </row>
    <row r="77" customFormat="false" ht="15.75" hidden="false" customHeight="true" outlineLevel="0" collapsed="false">
      <c r="A77" s="9" t="s">
        <v>86</v>
      </c>
      <c r="B77" s="10" t="s">
        <v>18</v>
      </c>
      <c r="C77" s="11"/>
      <c r="D77" s="11"/>
      <c r="E77" s="12" t="n">
        <f aca="false">IFERROR(C77*450+D77*-550,0)</f>
        <v>0</v>
      </c>
      <c r="F77" s="6"/>
    </row>
    <row r="78" customFormat="false" ht="15.75" hidden="false" customHeight="true" outlineLevel="0" collapsed="false">
      <c r="A78" s="9" t="s">
        <v>87</v>
      </c>
      <c r="B78" s="10" t="s">
        <v>10</v>
      </c>
      <c r="C78" s="11"/>
      <c r="D78" s="11"/>
      <c r="E78" s="12" t="n">
        <f aca="false">IFERROR(C78*450+D78*-550,0)</f>
        <v>0</v>
      </c>
      <c r="F78" s="6"/>
    </row>
    <row r="79" customFormat="false" ht="15.75" hidden="false" customHeight="true" outlineLevel="0" collapsed="false">
      <c r="A79" s="9" t="s">
        <v>88</v>
      </c>
      <c r="B79" s="10" t="s">
        <v>12</v>
      </c>
      <c r="C79" s="11"/>
      <c r="D79" s="11"/>
      <c r="E79" s="12" t="n">
        <f aca="false">IFERROR(C79*450+D79*-550,0)</f>
        <v>0</v>
      </c>
      <c r="F79" s="6"/>
    </row>
    <row r="80" customFormat="false" ht="15.75" hidden="false" customHeight="true" outlineLevel="0" collapsed="false">
      <c r="A80" s="9" t="s">
        <v>89</v>
      </c>
      <c r="B80" s="10" t="s">
        <v>14</v>
      </c>
      <c r="C80" s="11"/>
      <c r="D80" s="11"/>
      <c r="E80" s="12" t="n">
        <f aca="false">IFERROR(C80*450+D80*-550,0)</f>
        <v>0</v>
      </c>
      <c r="F80" s="6"/>
    </row>
    <row r="81" customFormat="false" ht="15.75" hidden="false" customHeight="true" outlineLevel="0" collapsed="false">
      <c r="A81" s="9" t="s">
        <v>90</v>
      </c>
      <c r="B81" s="10" t="s">
        <v>16</v>
      </c>
      <c r="C81" s="11"/>
      <c r="D81" s="11"/>
      <c r="E81" s="12" t="n">
        <f aca="false">IFERROR(C81*450+D81*-550,0)</f>
        <v>0</v>
      </c>
      <c r="F81" s="6"/>
    </row>
    <row r="82" customFormat="false" ht="15.75" hidden="false" customHeight="true" outlineLevel="0" collapsed="false">
      <c r="A82" s="9" t="s">
        <v>91</v>
      </c>
      <c r="B82" s="10" t="s">
        <v>18</v>
      </c>
      <c r="C82" s="11"/>
      <c r="D82" s="11"/>
      <c r="E82" s="12" t="n">
        <f aca="false">IFERROR(C82*450+D82*-550,0)</f>
        <v>0</v>
      </c>
      <c r="F82" s="6"/>
    </row>
    <row r="83" customFormat="false" ht="15.75" hidden="false" customHeight="true" outlineLevel="0" collapsed="false">
      <c r="A83" s="9" t="s">
        <v>92</v>
      </c>
      <c r="B83" s="10" t="s">
        <v>10</v>
      </c>
      <c r="C83" s="11"/>
      <c r="D83" s="11"/>
      <c r="E83" s="12" t="n">
        <f aca="false">IFERROR(C83*450+D83*-550,0)</f>
        <v>0</v>
      </c>
      <c r="F83" s="6"/>
    </row>
    <row r="84" customFormat="false" ht="15.75" hidden="false" customHeight="true" outlineLevel="0" collapsed="false">
      <c r="A84" s="9" t="s">
        <v>93</v>
      </c>
      <c r="B84" s="10" t="s">
        <v>12</v>
      </c>
      <c r="C84" s="11"/>
      <c r="D84" s="11"/>
      <c r="E84" s="12" t="n">
        <f aca="false">IFERROR(C84*450+D84*-550,0)</f>
        <v>0</v>
      </c>
      <c r="F84" s="6"/>
    </row>
    <row r="85" customFormat="false" ht="15.75" hidden="false" customHeight="true" outlineLevel="0" collapsed="false">
      <c r="A85" s="9" t="s">
        <v>94</v>
      </c>
      <c r="B85" s="10" t="s">
        <v>14</v>
      </c>
      <c r="C85" s="11"/>
      <c r="D85" s="11"/>
      <c r="E85" s="12" t="n">
        <f aca="false">IFERROR(C85*450+D85*-550,0)</f>
        <v>0</v>
      </c>
      <c r="F85" s="6"/>
    </row>
    <row r="86" customFormat="false" ht="15.75" hidden="false" customHeight="true" outlineLevel="0" collapsed="false">
      <c r="A86" s="9" t="s">
        <v>95</v>
      </c>
      <c r="B86" s="10" t="s">
        <v>16</v>
      </c>
      <c r="C86" s="11"/>
      <c r="D86" s="11"/>
      <c r="E86" s="12" t="n">
        <f aca="false">IFERROR(C86*450+D86*-550,0)</f>
        <v>0</v>
      </c>
      <c r="F86" s="6"/>
    </row>
    <row r="87" customFormat="false" ht="15.75" hidden="false" customHeight="true" outlineLevel="0" collapsed="false">
      <c r="A87" s="9" t="s">
        <v>96</v>
      </c>
      <c r="B87" s="10" t="s">
        <v>18</v>
      </c>
      <c r="C87" s="11"/>
      <c r="D87" s="11"/>
      <c r="E87" s="12" t="n">
        <f aca="false">IFERROR(C87*450+D87*-550,0)</f>
        <v>0</v>
      </c>
      <c r="F87" s="6"/>
    </row>
    <row r="88" customFormat="false" ht="15.75" hidden="false" customHeight="true" outlineLevel="0" collapsed="false">
      <c r="A88" s="9" t="s">
        <v>97</v>
      </c>
      <c r="B88" s="10" t="s">
        <v>10</v>
      </c>
      <c r="C88" s="11"/>
      <c r="D88" s="11"/>
      <c r="E88" s="12" t="n">
        <f aca="false">IFERROR(C88*450+D88*-550,0)</f>
        <v>0</v>
      </c>
      <c r="F88" s="6"/>
    </row>
    <row r="89" customFormat="false" ht="15.75" hidden="false" customHeight="true" outlineLevel="0" collapsed="false">
      <c r="A89" s="9" t="s">
        <v>98</v>
      </c>
      <c r="B89" s="10" t="s">
        <v>12</v>
      </c>
      <c r="C89" s="11"/>
      <c r="D89" s="11"/>
      <c r="E89" s="12" t="n">
        <f aca="false">IFERROR(C89*450+D89*-550,0)</f>
        <v>0</v>
      </c>
      <c r="F89" s="6"/>
    </row>
    <row r="90" customFormat="false" ht="15.75" hidden="false" customHeight="true" outlineLevel="0" collapsed="false">
      <c r="A90" s="9" t="s">
        <v>99</v>
      </c>
      <c r="B90" s="10" t="s">
        <v>14</v>
      </c>
      <c r="C90" s="11"/>
      <c r="D90" s="11"/>
      <c r="E90" s="12" t="n">
        <f aca="false">IFERROR(C90*450+D90*-550,0)</f>
        <v>0</v>
      </c>
      <c r="F90" s="6"/>
    </row>
    <row r="91" customFormat="false" ht="15.75" hidden="false" customHeight="true" outlineLevel="0" collapsed="false">
      <c r="A91" s="9" t="s">
        <v>100</v>
      </c>
      <c r="B91" s="10" t="s">
        <v>16</v>
      </c>
      <c r="C91" s="11"/>
      <c r="D91" s="11"/>
      <c r="E91" s="12" t="n">
        <f aca="false">IFERROR(C91*450+D91*-550,0)</f>
        <v>0</v>
      </c>
      <c r="F91" s="6"/>
    </row>
    <row r="92" customFormat="false" ht="15.75" hidden="false" customHeight="true" outlineLevel="0" collapsed="false">
      <c r="A92" s="9" t="s">
        <v>101</v>
      </c>
      <c r="B92" s="10" t="s">
        <v>18</v>
      </c>
      <c r="C92" s="11"/>
      <c r="D92" s="11"/>
      <c r="E92" s="12" t="n">
        <f aca="false">IFERROR(C92*450+D92*-550,0)</f>
        <v>0</v>
      </c>
      <c r="F92" s="6"/>
    </row>
    <row r="93" customFormat="false" ht="18" hidden="false" customHeight="true" outlineLevel="0" collapsed="false">
      <c r="A93" s="13" t="s">
        <v>102</v>
      </c>
      <c r="B93" s="14"/>
      <c r="C93" s="15" t="n">
        <f aca="false">SUM(C72:C92)</f>
        <v>0</v>
      </c>
      <c r="D93" s="15" t="n">
        <f aca="false">SUM(D72:D92)</f>
        <v>0</v>
      </c>
      <c r="E93" s="16" t="n">
        <f aca="false">SUM(E72:E92)</f>
        <v>0</v>
      </c>
      <c r="F93" s="17" t="n">
        <f aca="false">IFERROR(C93/(C93+D93),0)</f>
        <v>0</v>
      </c>
    </row>
    <row r="94" customFormat="false" ht="15.75" hidden="false" customHeight="true" outlineLevel="0" collapsed="false">
      <c r="A94" s="9" t="s">
        <v>103</v>
      </c>
      <c r="B94" s="10" t="s">
        <v>10</v>
      </c>
      <c r="C94" s="11"/>
      <c r="D94" s="11"/>
      <c r="E94" s="12" t="n">
        <f aca="false">IFERROR(C94*450+D94*-550,0)</f>
        <v>0</v>
      </c>
      <c r="F94" s="6"/>
    </row>
    <row r="95" customFormat="false" ht="15.75" hidden="false" customHeight="true" outlineLevel="0" collapsed="false">
      <c r="A95" s="9" t="s">
        <v>104</v>
      </c>
      <c r="B95" s="10" t="s">
        <v>12</v>
      </c>
      <c r="C95" s="11"/>
      <c r="D95" s="11"/>
      <c r="E95" s="12" t="n">
        <f aca="false">IFERROR(C95*450+D95*-550,0)</f>
        <v>0</v>
      </c>
      <c r="F95" s="6"/>
    </row>
    <row r="96" customFormat="false" ht="15.75" hidden="false" customHeight="true" outlineLevel="0" collapsed="false">
      <c r="A96" s="9" t="s">
        <v>105</v>
      </c>
      <c r="B96" s="10" t="s">
        <v>14</v>
      </c>
      <c r="C96" s="11"/>
      <c r="D96" s="11"/>
      <c r="E96" s="12" t="n">
        <f aca="false">IFERROR(C96*450+D96*-550,0)</f>
        <v>0</v>
      </c>
      <c r="F96" s="6"/>
    </row>
    <row r="97" customFormat="false" ht="15.75" hidden="false" customHeight="true" outlineLevel="0" collapsed="false">
      <c r="A97" s="9" t="s">
        <v>106</v>
      </c>
      <c r="B97" s="10" t="s">
        <v>16</v>
      </c>
      <c r="C97" s="11"/>
      <c r="D97" s="11"/>
      <c r="E97" s="12" t="n">
        <f aca="false">IFERROR(C97*450+D97*-550,0)</f>
        <v>0</v>
      </c>
      <c r="F97" s="6"/>
    </row>
    <row r="98" customFormat="false" ht="15.75" hidden="false" customHeight="true" outlineLevel="0" collapsed="false">
      <c r="A98" s="9" t="s">
        <v>107</v>
      </c>
      <c r="B98" s="10" t="s">
        <v>18</v>
      </c>
      <c r="C98" s="11"/>
      <c r="D98" s="11"/>
      <c r="E98" s="12" t="n">
        <f aca="false">IFERROR(C98*450+D98*-550,0)</f>
        <v>0</v>
      </c>
      <c r="F98" s="6"/>
    </row>
    <row r="99" customFormat="false" ht="15.75" hidden="false" customHeight="true" outlineLevel="0" collapsed="false">
      <c r="A99" s="9" t="s">
        <v>108</v>
      </c>
      <c r="B99" s="10" t="s">
        <v>10</v>
      </c>
      <c r="C99" s="11"/>
      <c r="D99" s="11"/>
      <c r="E99" s="12" t="n">
        <f aca="false">IFERROR(C99*450+D99*-550,0)</f>
        <v>0</v>
      </c>
      <c r="F99" s="6"/>
    </row>
    <row r="100" customFormat="false" ht="15.75" hidden="false" customHeight="true" outlineLevel="0" collapsed="false">
      <c r="A100" s="9" t="s">
        <v>109</v>
      </c>
      <c r="B100" s="10" t="s">
        <v>12</v>
      </c>
      <c r="C100" s="11"/>
      <c r="D100" s="11"/>
      <c r="E100" s="12" t="n">
        <f aca="false">IFERROR(C100*450+D100*-550,0)</f>
        <v>0</v>
      </c>
      <c r="F100" s="6"/>
    </row>
    <row r="101" customFormat="false" ht="15.75" hidden="false" customHeight="true" outlineLevel="0" collapsed="false">
      <c r="A101" s="9" t="s">
        <v>110</v>
      </c>
      <c r="B101" s="10" t="s">
        <v>14</v>
      </c>
      <c r="C101" s="11"/>
      <c r="D101" s="11"/>
      <c r="E101" s="12" t="n">
        <f aca="false">IFERROR(C101*450+D101*-550,0)</f>
        <v>0</v>
      </c>
      <c r="F101" s="6"/>
    </row>
    <row r="102" customFormat="false" ht="15.75" hidden="false" customHeight="true" outlineLevel="0" collapsed="false">
      <c r="A102" s="9" t="s">
        <v>111</v>
      </c>
      <c r="B102" s="10" t="s">
        <v>16</v>
      </c>
      <c r="C102" s="11"/>
      <c r="D102" s="11"/>
      <c r="E102" s="12" t="n">
        <f aca="false">IFERROR(C102*450+D102*-550,0)</f>
        <v>0</v>
      </c>
      <c r="F102" s="6"/>
    </row>
    <row r="103" customFormat="false" ht="15.75" hidden="false" customHeight="true" outlineLevel="0" collapsed="false">
      <c r="A103" s="9" t="s">
        <v>112</v>
      </c>
      <c r="B103" s="10" t="s">
        <v>18</v>
      </c>
      <c r="C103" s="11"/>
      <c r="D103" s="11"/>
      <c r="E103" s="12" t="n">
        <f aca="false">IFERROR(C103*450+D103*-550,0)</f>
        <v>0</v>
      </c>
      <c r="F103" s="6"/>
    </row>
    <row r="104" customFormat="false" ht="15.75" hidden="false" customHeight="true" outlineLevel="0" collapsed="false">
      <c r="A104" s="9" t="s">
        <v>113</v>
      </c>
      <c r="B104" s="10" t="s">
        <v>10</v>
      </c>
      <c r="C104" s="11"/>
      <c r="D104" s="11"/>
      <c r="E104" s="12" t="n">
        <f aca="false">IFERROR(C104*450+D104*-550,0)</f>
        <v>0</v>
      </c>
      <c r="F104" s="6"/>
    </row>
    <row r="105" customFormat="false" ht="15.75" hidden="false" customHeight="true" outlineLevel="0" collapsed="false">
      <c r="A105" s="9" t="s">
        <v>114</v>
      </c>
      <c r="B105" s="10" t="s">
        <v>12</v>
      </c>
      <c r="C105" s="11"/>
      <c r="D105" s="11"/>
      <c r="E105" s="12" t="n">
        <f aca="false">IFERROR(C105*450+D105*-550,0)</f>
        <v>0</v>
      </c>
      <c r="F105" s="6"/>
    </row>
    <row r="106" customFormat="false" ht="15.75" hidden="false" customHeight="true" outlineLevel="0" collapsed="false">
      <c r="A106" s="9" t="s">
        <v>115</v>
      </c>
      <c r="B106" s="10" t="s">
        <v>14</v>
      </c>
      <c r="C106" s="11"/>
      <c r="D106" s="11"/>
      <c r="E106" s="12" t="n">
        <f aca="false">IFERROR(C106*450+D106*-550,0)</f>
        <v>0</v>
      </c>
      <c r="F106" s="6"/>
    </row>
    <row r="107" customFormat="false" ht="15.75" hidden="false" customHeight="true" outlineLevel="0" collapsed="false">
      <c r="A107" s="9" t="s">
        <v>116</v>
      </c>
      <c r="B107" s="10" t="s">
        <v>16</v>
      </c>
      <c r="C107" s="11"/>
      <c r="D107" s="11"/>
      <c r="E107" s="12" t="n">
        <f aca="false">IFERROR(C107*450+D107*-550,0)</f>
        <v>0</v>
      </c>
      <c r="F107" s="6"/>
    </row>
    <row r="108" customFormat="false" ht="15.75" hidden="false" customHeight="true" outlineLevel="0" collapsed="false">
      <c r="A108" s="9" t="s">
        <v>117</v>
      </c>
      <c r="B108" s="10" t="s">
        <v>18</v>
      </c>
      <c r="C108" s="11"/>
      <c r="D108" s="11"/>
      <c r="E108" s="12" t="n">
        <f aca="false">IFERROR(C108*450+D108*-550,0)</f>
        <v>0</v>
      </c>
      <c r="F108" s="6"/>
    </row>
    <row r="109" customFormat="false" ht="15.75" hidden="false" customHeight="true" outlineLevel="0" collapsed="false">
      <c r="A109" s="9" t="s">
        <v>118</v>
      </c>
      <c r="B109" s="10" t="s">
        <v>10</v>
      </c>
      <c r="C109" s="11"/>
      <c r="D109" s="11"/>
      <c r="E109" s="12" t="n">
        <f aca="false">IFERROR(C109*450+D109*-550,0)</f>
        <v>0</v>
      </c>
      <c r="F109" s="6"/>
    </row>
    <row r="110" customFormat="false" ht="15.75" hidden="false" customHeight="true" outlineLevel="0" collapsed="false">
      <c r="A110" s="9" t="s">
        <v>119</v>
      </c>
      <c r="B110" s="10" t="s">
        <v>12</v>
      </c>
      <c r="C110" s="11"/>
      <c r="D110" s="11"/>
      <c r="E110" s="12" t="n">
        <f aca="false">IFERROR(C110*450+D110*-550,0)</f>
        <v>0</v>
      </c>
      <c r="F110" s="6"/>
    </row>
    <row r="111" customFormat="false" ht="15.75" hidden="false" customHeight="true" outlineLevel="0" collapsed="false">
      <c r="A111" s="9" t="s">
        <v>120</v>
      </c>
      <c r="B111" s="10" t="s">
        <v>14</v>
      </c>
      <c r="C111" s="11"/>
      <c r="D111" s="11"/>
      <c r="E111" s="12" t="n">
        <f aca="false">IFERROR(C111*450+D111*-550,0)</f>
        <v>0</v>
      </c>
      <c r="F111" s="6"/>
    </row>
    <row r="112" customFormat="false" ht="15.75" hidden="false" customHeight="true" outlineLevel="0" collapsed="false">
      <c r="A112" s="9" t="s">
        <v>121</v>
      </c>
      <c r="B112" s="10" t="s">
        <v>16</v>
      </c>
      <c r="C112" s="11"/>
      <c r="D112" s="11"/>
      <c r="E112" s="12" t="n">
        <f aca="false">IFERROR(C112*450+D112*-550,0)</f>
        <v>0</v>
      </c>
      <c r="F112" s="6"/>
    </row>
    <row r="113" customFormat="false" ht="15.75" hidden="false" customHeight="true" outlineLevel="0" collapsed="false">
      <c r="A113" s="9" t="s">
        <v>122</v>
      </c>
      <c r="B113" s="10" t="s">
        <v>18</v>
      </c>
      <c r="C113" s="11"/>
      <c r="D113" s="11"/>
      <c r="E113" s="12" t="n">
        <f aca="false">IFERROR(C113*450+D113*-550,0)</f>
        <v>0</v>
      </c>
      <c r="F113" s="6"/>
    </row>
    <row r="114" customFormat="false" ht="15.75" hidden="false" customHeight="true" outlineLevel="0" collapsed="false">
      <c r="A114" s="9" t="s">
        <v>123</v>
      </c>
      <c r="B114" s="10" t="s">
        <v>10</v>
      </c>
      <c r="C114" s="11"/>
      <c r="D114" s="11"/>
      <c r="E114" s="12" t="n">
        <f aca="false">IFERROR(C114*450+D114*-550,0)</f>
        <v>0</v>
      </c>
      <c r="F114" s="6"/>
    </row>
    <row r="115" customFormat="false" ht="15.75" hidden="false" customHeight="true" outlineLevel="0" collapsed="false">
      <c r="A115" s="9" t="s">
        <v>124</v>
      </c>
      <c r="B115" s="10" t="s">
        <v>12</v>
      </c>
      <c r="C115" s="11"/>
      <c r="D115" s="11"/>
      <c r="E115" s="12" t="n">
        <f aca="false">IFERROR(C115*450+D115*-550,0)</f>
        <v>0</v>
      </c>
      <c r="F115" s="6"/>
    </row>
    <row r="116" customFormat="false" ht="18" hidden="false" customHeight="true" outlineLevel="0" collapsed="false">
      <c r="A116" s="13" t="s">
        <v>125</v>
      </c>
      <c r="B116" s="14"/>
      <c r="C116" s="15" t="n">
        <f aca="false">SUM(C94:C115)</f>
        <v>0</v>
      </c>
      <c r="D116" s="15" t="n">
        <f aca="false">SUM(D94:D115)</f>
        <v>0</v>
      </c>
      <c r="E116" s="16" t="n">
        <f aca="false">SUM(E94:E115)</f>
        <v>0</v>
      </c>
      <c r="F116" s="17" t="n">
        <f aca="false">IFERROR(C116/(C116+D116),0)</f>
        <v>0</v>
      </c>
    </row>
    <row r="117" customFormat="false" ht="15.75" hidden="false" customHeight="true" outlineLevel="0" collapsed="false">
      <c r="A117" s="9" t="s">
        <v>126</v>
      </c>
      <c r="B117" s="10" t="s">
        <v>14</v>
      </c>
      <c r="C117" s="11"/>
      <c r="D117" s="11"/>
      <c r="E117" s="12" t="n">
        <f aca="false">IFERROR(C117*450+D117*-550,0)</f>
        <v>0</v>
      </c>
      <c r="F117" s="6"/>
    </row>
    <row r="118" customFormat="false" ht="15.75" hidden="false" customHeight="true" outlineLevel="0" collapsed="false">
      <c r="A118" s="9" t="s">
        <v>127</v>
      </c>
      <c r="B118" s="10" t="s">
        <v>16</v>
      </c>
      <c r="C118" s="11"/>
      <c r="D118" s="11"/>
      <c r="E118" s="12" t="n">
        <f aca="false">IFERROR(C118*450+D118*-550,0)</f>
        <v>0</v>
      </c>
      <c r="F118" s="6"/>
    </row>
    <row r="119" customFormat="false" ht="15.75" hidden="false" customHeight="true" outlineLevel="0" collapsed="false">
      <c r="A119" s="9" t="s">
        <v>128</v>
      </c>
      <c r="B119" s="10" t="s">
        <v>18</v>
      </c>
      <c r="C119" s="11"/>
      <c r="D119" s="11"/>
      <c r="E119" s="12" t="n">
        <f aca="false">IFERROR(C119*450+D119*-550,0)</f>
        <v>0</v>
      </c>
      <c r="F119" s="6"/>
    </row>
    <row r="120" customFormat="false" ht="15.75" hidden="false" customHeight="true" outlineLevel="0" collapsed="false">
      <c r="A120" s="9" t="s">
        <v>129</v>
      </c>
      <c r="B120" s="10" t="s">
        <v>10</v>
      </c>
      <c r="C120" s="11"/>
      <c r="D120" s="11"/>
      <c r="E120" s="12" t="n">
        <f aca="false">IFERROR(C120*450+D120*-550,0)</f>
        <v>0</v>
      </c>
      <c r="F120" s="6"/>
    </row>
    <row r="121" customFormat="false" ht="15.75" hidden="false" customHeight="true" outlineLevel="0" collapsed="false">
      <c r="A121" s="9" t="s">
        <v>130</v>
      </c>
      <c r="B121" s="10" t="s">
        <v>12</v>
      </c>
      <c r="C121" s="11"/>
      <c r="D121" s="11"/>
      <c r="E121" s="12" t="n">
        <f aca="false">IFERROR(C121*450+D121*-550,0)</f>
        <v>0</v>
      </c>
      <c r="F121" s="6"/>
    </row>
    <row r="122" customFormat="false" ht="15.75" hidden="false" customHeight="true" outlineLevel="0" collapsed="false">
      <c r="A122" s="9" t="s">
        <v>131</v>
      </c>
      <c r="B122" s="10" t="s">
        <v>14</v>
      </c>
      <c r="C122" s="11"/>
      <c r="D122" s="11"/>
      <c r="E122" s="12" t="n">
        <f aca="false">IFERROR(C122*450+D122*-550,0)</f>
        <v>0</v>
      </c>
      <c r="F122" s="6"/>
    </row>
    <row r="123" customFormat="false" ht="15.75" hidden="false" customHeight="true" outlineLevel="0" collapsed="false">
      <c r="A123" s="9" t="s">
        <v>132</v>
      </c>
      <c r="B123" s="10" t="s">
        <v>16</v>
      </c>
      <c r="C123" s="11"/>
      <c r="D123" s="11"/>
      <c r="E123" s="12" t="n">
        <f aca="false">IFERROR(C123*450+D123*-550,0)</f>
        <v>0</v>
      </c>
      <c r="F123" s="6"/>
    </row>
    <row r="124" customFormat="false" ht="15.75" hidden="false" customHeight="true" outlineLevel="0" collapsed="false">
      <c r="A124" s="9" t="s">
        <v>133</v>
      </c>
      <c r="B124" s="10" t="s">
        <v>18</v>
      </c>
      <c r="C124" s="11"/>
      <c r="D124" s="11"/>
      <c r="E124" s="12" t="n">
        <f aca="false">IFERROR(C124*450+D124*-550,0)</f>
        <v>0</v>
      </c>
      <c r="F124" s="6"/>
    </row>
    <row r="125" customFormat="false" ht="15.75" hidden="false" customHeight="true" outlineLevel="0" collapsed="false">
      <c r="A125" s="9" t="s">
        <v>134</v>
      </c>
      <c r="B125" s="10" t="s">
        <v>10</v>
      </c>
      <c r="C125" s="11"/>
      <c r="D125" s="11"/>
      <c r="E125" s="12" t="n">
        <f aca="false">IFERROR(C125*450+D125*-550,0)</f>
        <v>0</v>
      </c>
      <c r="F125" s="6"/>
    </row>
    <row r="126" customFormat="false" ht="15.75" hidden="false" customHeight="true" outlineLevel="0" collapsed="false">
      <c r="A126" s="9" t="s">
        <v>135</v>
      </c>
      <c r="B126" s="10" t="s">
        <v>12</v>
      </c>
      <c r="C126" s="11"/>
      <c r="D126" s="11"/>
      <c r="E126" s="12" t="n">
        <f aca="false">IFERROR(C126*450+D126*-550,0)</f>
        <v>0</v>
      </c>
      <c r="F126" s="6"/>
    </row>
    <row r="127" customFormat="false" ht="15.75" hidden="false" customHeight="true" outlineLevel="0" collapsed="false">
      <c r="A127" s="9" t="s">
        <v>136</v>
      </c>
      <c r="B127" s="10" t="s">
        <v>14</v>
      </c>
      <c r="C127" s="11"/>
      <c r="D127" s="11"/>
      <c r="E127" s="12" t="n">
        <f aca="false">IFERROR(C127*450+D127*-550,0)</f>
        <v>0</v>
      </c>
      <c r="F127" s="6"/>
    </row>
    <row r="128" customFormat="false" ht="15.75" hidden="false" customHeight="true" outlineLevel="0" collapsed="false">
      <c r="A128" s="9" t="s">
        <v>137</v>
      </c>
      <c r="B128" s="10" t="s">
        <v>16</v>
      </c>
      <c r="C128" s="11"/>
      <c r="D128" s="11"/>
      <c r="E128" s="12" t="n">
        <f aca="false">IFERROR(C128*450+D128*-550,0)</f>
        <v>0</v>
      </c>
      <c r="F128" s="6"/>
    </row>
    <row r="129" customFormat="false" ht="15.75" hidden="false" customHeight="true" outlineLevel="0" collapsed="false">
      <c r="A129" s="9" t="s">
        <v>138</v>
      </c>
      <c r="B129" s="10" t="s">
        <v>18</v>
      </c>
      <c r="C129" s="11"/>
      <c r="D129" s="11"/>
      <c r="E129" s="12" t="n">
        <f aca="false">IFERROR(C129*450+D129*-550,0)</f>
        <v>0</v>
      </c>
      <c r="F129" s="6"/>
    </row>
    <row r="130" customFormat="false" ht="15.75" hidden="false" customHeight="true" outlineLevel="0" collapsed="false">
      <c r="A130" s="9" t="s">
        <v>139</v>
      </c>
      <c r="B130" s="10" t="s">
        <v>10</v>
      </c>
      <c r="C130" s="11"/>
      <c r="D130" s="11"/>
      <c r="E130" s="12" t="n">
        <f aca="false">IFERROR(C130*450+D130*-550,0)</f>
        <v>0</v>
      </c>
      <c r="F130" s="6"/>
    </row>
    <row r="131" customFormat="false" ht="15.75" hidden="false" customHeight="true" outlineLevel="0" collapsed="false">
      <c r="A131" s="9" t="s">
        <v>140</v>
      </c>
      <c r="B131" s="10" t="s">
        <v>12</v>
      </c>
      <c r="C131" s="11"/>
      <c r="D131" s="11"/>
      <c r="E131" s="12" t="n">
        <f aca="false">IFERROR(C131*450+D131*-550,0)</f>
        <v>0</v>
      </c>
      <c r="F131" s="6"/>
    </row>
    <row r="132" customFormat="false" ht="15.75" hidden="false" customHeight="true" outlineLevel="0" collapsed="false">
      <c r="A132" s="9" t="s">
        <v>141</v>
      </c>
      <c r="B132" s="10" t="s">
        <v>14</v>
      </c>
      <c r="C132" s="11"/>
      <c r="D132" s="11"/>
      <c r="E132" s="12" t="n">
        <f aca="false">IFERROR(C132*450+D132*-550,0)</f>
        <v>0</v>
      </c>
      <c r="F132" s="6"/>
    </row>
    <row r="133" customFormat="false" ht="15.75" hidden="false" customHeight="true" outlineLevel="0" collapsed="false">
      <c r="A133" s="9" t="s">
        <v>142</v>
      </c>
      <c r="B133" s="10" t="s">
        <v>16</v>
      </c>
      <c r="C133" s="11"/>
      <c r="D133" s="11"/>
      <c r="E133" s="12" t="n">
        <f aca="false">IFERROR(C133*450+D133*-550,0)</f>
        <v>0</v>
      </c>
      <c r="F133" s="6"/>
    </row>
    <row r="134" customFormat="false" ht="15.75" hidden="false" customHeight="true" outlineLevel="0" collapsed="false">
      <c r="A134" s="9" t="s">
        <v>143</v>
      </c>
      <c r="B134" s="10" t="s">
        <v>18</v>
      </c>
      <c r="C134" s="11"/>
      <c r="D134" s="11"/>
      <c r="E134" s="12" t="n">
        <f aca="false">IFERROR(C134*450+D134*-550,0)</f>
        <v>0</v>
      </c>
      <c r="F134" s="6"/>
    </row>
    <row r="135" customFormat="false" ht="15.75" hidden="false" customHeight="true" outlineLevel="0" collapsed="false">
      <c r="A135" s="9" t="s">
        <v>144</v>
      </c>
      <c r="B135" s="10" t="s">
        <v>10</v>
      </c>
      <c r="C135" s="11"/>
      <c r="D135" s="11"/>
      <c r="E135" s="12" t="n">
        <f aca="false">IFERROR(C135*450+D135*-550,0)</f>
        <v>0</v>
      </c>
      <c r="F135" s="6"/>
    </row>
    <row r="136" customFormat="false" ht="15.75" hidden="false" customHeight="true" outlineLevel="0" collapsed="false">
      <c r="A136" s="9" t="s">
        <v>145</v>
      </c>
      <c r="B136" s="10" t="s">
        <v>12</v>
      </c>
      <c r="C136" s="11"/>
      <c r="D136" s="11"/>
      <c r="E136" s="12" t="n">
        <f aca="false">IFERROR(C136*450+D136*-550,0)</f>
        <v>0</v>
      </c>
      <c r="F136" s="6"/>
    </row>
    <row r="137" customFormat="false" ht="15.75" hidden="false" customHeight="true" outlineLevel="0" collapsed="false">
      <c r="A137" s="9" t="s">
        <v>146</v>
      </c>
      <c r="B137" s="10" t="s">
        <v>14</v>
      </c>
      <c r="C137" s="11"/>
      <c r="D137" s="11"/>
      <c r="E137" s="12" t="n">
        <f aca="false">IFERROR(C137*450+D137*-550,0)</f>
        <v>0</v>
      </c>
      <c r="F137" s="6"/>
    </row>
    <row r="138" customFormat="false" ht="15.75" hidden="false" customHeight="true" outlineLevel="0" collapsed="false">
      <c r="A138" s="9" t="s">
        <v>147</v>
      </c>
      <c r="B138" s="10" t="s">
        <v>16</v>
      </c>
      <c r="C138" s="11"/>
      <c r="D138" s="11"/>
      <c r="E138" s="12" t="n">
        <f aca="false">IFERROR(C138*450+D138*-550,0)</f>
        <v>0</v>
      </c>
      <c r="F138" s="6"/>
    </row>
    <row r="139" customFormat="false" ht="15.75" hidden="false" customHeight="true" outlineLevel="0" collapsed="false">
      <c r="A139" s="9" t="s">
        <v>148</v>
      </c>
      <c r="B139" s="10" t="s">
        <v>18</v>
      </c>
      <c r="C139" s="11"/>
      <c r="D139" s="11"/>
      <c r="E139" s="12" t="n">
        <f aca="false">IFERROR(C139*450+D139*-550,0)</f>
        <v>0</v>
      </c>
      <c r="F139" s="6"/>
    </row>
    <row r="140" customFormat="false" ht="18" hidden="false" customHeight="true" outlineLevel="0" collapsed="false">
      <c r="A140" s="13" t="s">
        <v>149</v>
      </c>
      <c r="B140" s="14"/>
      <c r="C140" s="15" t="n">
        <f aca="false">SUM(C117:C139)</f>
        <v>0</v>
      </c>
      <c r="D140" s="15" t="n">
        <f aca="false">SUM(D117:D139)</f>
        <v>0</v>
      </c>
      <c r="E140" s="16" t="n">
        <f aca="false">SUM(E117:E139)</f>
        <v>0</v>
      </c>
      <c r="F140" s="17" t="n">
        <f aca="false">IFERROR(C140/(C140+D140),0)</f>
        <v>0</v>
      </c>
    </row>
    <row r="141" customFormat="false" ht="18" hidden="false" customHeight="true" outlineLevel="0" collapsed="false">
      <c r="A141" s="13" t="s">
        <v>150</v>
      </c>
      <c r="B141" s="14"/>
      <c r="C141" s="15"/>
      <c r="D141" s="15"/>
      <c r="E141" s="16" t="n">
        <f aca="false">E25+E48+E71+E93+E116+E140</f>
        <v>0</v>
      </c>
      <c r="F141" s="18" t="n">
        <f aca="false">IFERROR((C25+C48+C71+C93+C116+C140)/(C25+C48+C71+C93+C116+C140+D25+D48+D71+D93+D116+D140),0)</f>
        <v>0</v>
      </c>
    </row>
  </sheetData>
  <mergeCells count="3">
    <mergeCell ref="A1:F1"/>
    <mergeCell ref="C2:D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2026-08-03T13:59:21Z</dcterms:created>
  <dc:creator>openpyxl</dc:creator>
  <dc:description/>
  <dc:language>en-US</dc:language>
  <cp:lastModifiedBy/>
  <dcterms:modified xsi:type="dcterms:W3CDTF">2026-08-03T13:59:21Z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