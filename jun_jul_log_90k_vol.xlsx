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–Jul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<sst xmlns="http://schemas.openxmlformats.org/spreadsheetml/2006/main" count="122" uniqueCount="71">
  <si>
    <t xml:space="preserve">THE REBOUND  —  ES FUTURES  |  WIN $500 / LOSS $550  |  JUNE–JULY 2026</t>
  </si>
  <si>
    <t xml:space="preserve">DATE / DAY</t>
  </si>
  <si>
    <t xml:space="preserve">NY SESSION  (6:30 AM PT — weekdays only)</t>
  </si>
  <si>
    <t xml:space="preserve">ASIA SESSION  (3:00 PM PT — incl. Sundays)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</si>
  <si>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</si>
  <si>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</si>
  <si>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</si>
  <si>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</si>
  <si>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</si>
  <si>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L✓</t>
  </si>
  <si>
    <t xml:space="preserve">L✗</t>
  </si>
  <si>
    <t xml:space="preserve">S✓</t>
  </si>
  <si>
    <t xml:space="preserve">S✗</t>
  </si>
  <si>
    <t xml:space="preserve">SKIP</t>
  </si>
  <si>
    <t xml:space="preserve">E/L</t>
  </si>
  <si>
    <t xml:space="preserve">WIN RATE</t>
  </si>
  <si>
    <t xml:space="preserve">W=Wins  L=Losses  L✓=Longs Won  L✗=Longs Lost  S✓=Shorts Won  S✗=Shorts Lost  SKIP=# skips  E/L = E(early &lt;30min) or L(late &gt;30min)   ★ SUNDAY = Asia only</t>
  </si>
  <si>
    <t xml:space="preserve">Jun 1</t>
  </si>
  <si>
    <t xml:space="preserve">Mon</t>
  </si>
  <si>
    <t xml:space="preserve">Jun 2</t>
  </si>
  <si>
    <t xml:space="preserve">Tue</t>
  </si>
  <si>
    <t xml:space="preserve">Jun 3</t>
  </si>
  <si>
    <t xml:space="preserve">Wed</t>
  </si>
  <si>
    <t xml:space="preserve">Jun 4</t>
  </si>
  <si>
    <t xml:space="preserve">Thu</t>
  </si>
  <si>
    <t xml:space="preserve">Jun 5</t>
  </si>
  <si>
    <t xml:space="preserve">Fri</t>
  </si>
  <si>
    <t xml:space="preserve">Jun 7</t>
  </si>
  <si>
    <t xml:space="preserve">SUN ★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</si>
  <si>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</si>
  <si>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</si>
  <si>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</si>
  <si>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</si>
  <si>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</si>
  <si>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14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</si>
  <si>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</si>
  <si>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</si>
  <si>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</si>
  <si>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</si>
  <si>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</si>
  <si>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21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</si>
  <si>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</si>
  <si>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</si>
  <si>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</si>
  <si>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</si>
  <si>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</si>
  <si>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28</t>
  </si>
  <si>
    <t xml:space="preserve">Jun 29</t>
  </si>
  <si>
    <t xml:space="preserve">Jun 30</t>
  </si>
  <si>
    <t xml:space="preserve">  ★  JUNE  TOTAL</t>
  </si>
  <si>
    <t xml:space="preserve">Jul 1</t>
  </si>
  <si>
    <t xml:space="preserve">Jul 2</t>
  </si>
  <si>
    <t xml:space="preserve">Jul 5</t>
  </si>
  <si>
    <t xml:space="preserve">—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</si>
  <si>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</si>
  <si>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</si>
  <si>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</si>
  <si>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</si>
  <si>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</si>
  <si>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Jul 12</t>
  </si>
  <si>
    <t xml:space="preserve">Jul 13</t>
  </si>
  <si>
    <t xml:space="preserve">Jul 14</t>
  </si>
  <si>
    <t xml:space="preserve">Jul 15</t>
  </si>
  <si>
    <t xml:space="preserve">Jul 16</t>
  </si>
  <si>
    <t xml:space="preserve">Jul 17</t>
  </si>
  <si>
    <t xml:space="preserve">Jul 19</t>
  </si>
  <si>
    <t xml:space="preserve">Jul 20</t>
  </si>
  <si>
    <t xml:space="preserve">Jul 21</t>
  </si>
  <si>
    <t xml:space="preserve">Jul 22</t>
  </si>
  <si>
    <t xml:space="preserve">  ★  JULY  TOTAL</t>
  </si>
  <si>
    <t xml:space="preserve">OVERALL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</si>
</sst>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\$#,##0;&quot;-$&quot;#,##0;\-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b val="true"/>
      <sz val="9"/>
      <name val="Cambria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6A02D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0F0F0F"/>
      </patternFill>
    </fill>
    <fill>
      <patternFill patternType="solid">
        <fgColor rgb="FF141414"/>
        <bgColor rgb="FF181220"/>
      </patternFill>
    </fill>
    <fill>
      <patternFill patternType="solid">
        <fgColor rgb="FF181220"/>
        <bgColor rgb="FF141414"/>
      </patternFill>
    </fill>
    <fill>
      <patternFill patternType="solid">
        <fgColor rgb="FF0F0F0F"/>
        <bgColor rgb="FF0E0E0E"/>
      </patternFill>
    </fill>
    <fill>
      <patternFill patternType="solid">
        <fgColor rgb="FF1C1057"/>
        <bgColor rgb="FF1812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52525"/>
      </left>
      <right/>
      <top style="thin">
        <color rgb="FF252525"/>
      </top>
      <bottom style="thin">
        <color rgb="FF252525"/>
      </bottom>
      <diagonal/>
    </border>
    <border diagonalUp="false" diagonalDown="false"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0F0F0F"/>
      <rgbColor rgb="FFFF8080"/>
      <rgbColor rgb="FF0066CC"/>
      <rgbColor rgb="FFCCCCFF"/>
      <rgbColor rgb="FF0E0E0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181220"/>
      <rgbColor rgb="FF1D9E75"/>
      <rgbColor rgb="FF141414"/>
      <rgbColor rgb="FF252525"/>
      <rgbColor rgb="FF993300"/>
      <rgbColor rgb="FF993366"/>
      <rgbColor rgb="FF534AB7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"/>
    <col collapsed="false" customWidth="true" hidden="false" outlineLevel="0" max="9" min="3" style="1" width="5"/>
    <col collapsed="false" customWidth="true" hidden="false" outlineLevel="0" max="10" min="10" style="1" width="8"/>
    <col collapsed="false" customWidth="true" hidden="false" outlineLevel="0" max="17" min="11" style="1" width="5"/>
    <col collapsed="false" customWidth="true" hidden="false" outlineLevel="0" max="18" min="18" style="1" width="8"/>
    <col collapsed="false" customWidth="true" hidden="false" outlineLevel="0" max="19" min="19" style="1" width="11"/>
    <col collapsed="false" customWidth="true" hidden="false" outlineLevel="0" max="20" min="20" style="1" width="9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3" t="s">
        <v>1</v>
      </c>
      <c r="B2" s="3"/>
      <c r="C2" s="4" t="s">
        <v>2</v>
      </c>
      <c r="D2" s="4"/>
      <c r="E2" s="4"/>
      <c r="F2" s="4"/>
      <c r="G2" s="4"/>
      <c r="H2" s="4"/>
      <c r="I2" s="4"/>
      <c r="J2" s="4"/>
      <c r="K2" s="5" t="s">
        <v>3</v>
      </c>
      <c r="L2" s="5"/>
      <c r="M2" s="5"/>
      <c r="N2" s="5"/>
      <c r="O2" s="5"/>
      <c r="P2" s="5"/>
      <c r="Q2" s="5"/>
      <c r="R2" s="5"/>
      <c r="S2" s="6" t="s">
        <v>4</v>
      </c>
    </row>
    <row r="3" customFormat="false" ht="15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6"/>
      <c r="T3" s="8" t="s">
        <v>15</v>
      </c>
    </row>
    <row r="4" customFormat="false" ht="15" hidden="false" customHeight="true" outlineLevel="0" collapsed="false">
      <c r="A4" s="9" t="s">
        <v>16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customFormat="false" ht="15" hidden="false" customHeight="true" outlineLevel="0" collapsed="false">
      <c r="A5" s="10" t="s">
        <v>17</v>
      </c>
      <c r="B5" s="11" t="s">
        <v>18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 t="n">
        <f aca="false">IFERROR(C5*500+D5*-550,0)+IFERROR(K5*500+L5*-550,0)</f>
        <v>0</v>
      </c>
    </row>
    <row r="6" customFormat="false" ht="15" hidden="false" customHeight="true" outlineLevel="0" collapsed="false">
      <c r="A6" s="10" t="s">
        <v>19</v>
      </c>
      <c r="B6" s="11" t="s">
        <v>20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 t="n">
        <f aca="false">IFERROR(C6*500+D6*-550,0)+IFERROR(K6*500+L6*-550,0)</f>
        <v>0</v>
      </c>
    </row>
    <row r="7" customFormat="false" ht="15" hidden="false" customHeight="true" outlineLevel="0" collapsed="false">
      <c r="A7" s="10" t="s">
        <v>21</v>
      </c>
      <c r="B7" s="11" t="s">
        <v>22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 t="n">
        <f aca="false">IFERROR(C7*500+D7*-550,0)+IFERROR(K7*500+L7*-550,0)</f>
        <v>0</v>
      </c>
    </row>
    <row r="8" customFormat="false" ht="15" hidden="false" customHeight="true" outlineLevel="0" collapsed="false">
      <c r="A8" s="10" t="s">
        <v>23</v>
      </c>
      <c r="B8" s="11" t="s">
        <v>24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3" t="n">
        <f aca="false">IFERROR(C8*500+D8*-550,0)+IFERROR(K8*500+L8*-550,0)</f>
        <v>0</v>
      </c>
    </row>
    <row r="9" customFormat="false" ht="15" hidden="false" customHeight="true" outlineLevel="0" collapsed="false">
      <c r="A9" s="10" t="s">
        <v>25</v>
      </c>
      <c r="B9" s="11" t="s">
        <v>26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3" t="n">
        <f aca="false">IFERROR(C9*500+D9*-550,0)+IFERROR(K9*500+L9*-550,0)</f>
        <v>0</v>
      </c>
    </row>
    <row r="10" customFormat="false" ht="15" hidden="false" customHeight="true" outlineLevel="0" collapsed="false">
      <c r="A10" s="14" t="s">
        <v>27</v>
      </c>
      <c r="B10" s="15" t="s">
        <v>28</v>
      </c>
      <c r="C10" s="16"/>
      <c r="D10" s="16"/>
      <c r="E10" s="16"/>
      <c r="F10" s="16"/>
      <c r="G10" s="16"/>
      <c r="H10" s="16"/>
      <c r="I10" s="16"/>
      <c r="J10" s="16"/>
      <c r="K10" s="17"/>
      <c r="L10" s="17"/>
      <c r="M10" s="17"/>
      <c r="N10" s="17"/>
      <c r="O10" s="17"/>
      <c r="P10" s="17"/>
      <c r="Q10" s="17"/>
      <c r="R10" s="17"/>
      <c r="S10" s="18" t="n">
        <f aca="false">IFERROR(K10*500+L10*-550,0)</f>
        <v>0</v>
      </c>
    </row>
    <row r="11" customFormat="false" ht="15" hidden="false" customHeight="true" outlineLevel="0" collapsed="false">
      <c r="A11" s="10" t="s">
        <v>29</v>
      </c>
      <c r="B11" s="11" t="s">
        <v>18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 t="n">
        <f aca="false">IFERROR(C11*500+D11*-550,0)+IFERROR(K11*500+L11*-550,0)</f>
        <v>0</v>
      </c>
    </row>
    <row r="12" customFormat="false" ht="15" hidden="false" customHeight="true" outlineLevel="0" collapsed="false">
      <c r="A12" s="10" t="s">
        <v>30</v>
      </c>
      <c r="B12" s="11" t="s">
        <v>20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 t="n">
        <f aca="false">IFERROR(C12*500+D12*-550,0)+IFERROR(K12*500+L12*-550,0)</f>
        <v>0</v>
      </c>
    </row>
    <row r="13" customFormat="false" ht="15" hidden="false" customHeight="true" outlineLevel="0" collapsed="false">
      <c r="A13" s="10" t="s">
        <v>31</v>
      </c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 t="n">
        <f aca="false">IFERROR(C13*500+D13*-550,0)+IFERROR(K13*500+L13*-550,0)</f>
        <v>0</v>
      </c>
    </row>
    <row r="14" customFormat="false" ht="15" hidden="false" customHeight="true" outlineLevel="0" collapsed="false">
      <c r="A14" s="10" t="s">
        <v>32</v>
      </c>
      <c r="B14" s="11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 t="n">
        <f aca="false">IFERROR(C14*500+D14*-550,0)+IFERROR(K14*500+L14*-550,0)</f>
        <v>0</v>
      </c>
    </row>
    <row r="15" customFormat="false" ht="15" hidden="false" customHeight="true" outlineLevel="0" collapsed="false">
      <c r="A15" s="10" t="s">
        <v>33</v>
      </c>
      <c r="B15" s="11" t="s">
        <v>26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 t="n">
        <f aca="false">IFERROR(C15*500+D15*-550,0)+IFERROR(K15*500+L15*-550,0)</f>
        <v>0</v>
      </c>
    </row>
    <row r="16" customFormat="false" ht="15" hidden="false" customHeight="true" outlineLevel="0" collapsed="false">
      <c r="A16" s="14" t="s">
        <v>34</v>
      </c>
      <c r="B16" s="15" t="s">
        <v>28</v>
      </c>
      <c r="C16" s="16"/>
      <c r="D16" s="16"/>
      <c r="E16" s="16"/>
      <c r="F16" s="16"/>
      <c r="G16" s="16"/>
      <c r="H16" s="16"/>
      <c r="I16" s="16"/>
      <c r="J16" s="16"/>
      <c r="K16" s="17"/>
      <c r="L16" s="17"/>
      <c r="M16" s="17"/>
      <c r="N16" s="17"/>
      <c r="O16" s="17"/>
      <c r="P16" s="17"/>
      <c r="Q16" s="17"/>
      <c r="R16" s="17"/>
      <c r="S16" s="18" t="n">
        <f aca="false">IFERROR(K16*500+L16*-550,0)</f>
        <v>0</v>
      </c>
    </row>
    <row r="17" customFormat="false" ht="15" hidden="false" customHeight="true" outlineLevel="0" collapsed="false">
      <c r="A17" s="10" t="s">
        <v>35</v>
      </c>
      <c r="B17" s="11" t="s">
        <v>18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 t="n">
        <f aca="false">IFERROR(C17*500+D17*-550,0)+IFERROR(K17*500+L17*-550,0)</f>
        <v>0</v>
      </c>
    </row>
    <row r="18" customFormat="false" ht="15" hidden="false" customHeight="true" outlineLevel="0" collapsed="false">
      <c r="A18" s="10" t="s">
        <v>36</v>
      </c>
      <c r="B18" s="11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 t="n">
        <f aca="false">IFERROR(C18*500+D18*-550,0)+IFERROR(K18*500+L18*-550,0)</f>
        <v>0</v>
      </c>
    </row>
    <row r="19" customFormat="false" ht="15" hidden="false" customHeight="true" outlineLevel="0" collapsed="false">
      <c r="A19" s="10" t="s">
        <v>37</v>
      </c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 t="n">
        <f aca="false">IFERROR(C19*500+D19*-550,0)+IFERROR(K19*500+L19*-550,0)</f>
        <v>0</v>
      </c>
    </row>
    <row r="20" customFormat="false" ht="15" hidden="false" customHeight="true" outlineLevel="0" collapsed="false">
      <c r="A20" s="10" t="s">
        <v>38</v>
      </c>
      <c r="B20" s="11" t="s">
        <v>24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 t="n">
        <f aca="false">IFERROR(C20*500+D20*-550,0)+IFERROR(K20*500+L20*-550,0)</f>
        <v>0</v>
      </c>
    </row>
    <row r="21" customFormat="false" ht="15" hidden="false" customHeight="true" outlineLevel="0" collapsed="false">
      <c r="A21" s="10" t="s">
        <v>39</v>
      </c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 t="n">
        <f aca="false">IFERROR(C21*500+D21*-550,0)+IFERROR(K21*500+L21*-550,0)</f>
        <v>0</v>
      </c>
    </row>
    <row r="22" customFormat="false" ht="15" hidden="false" customHeight="true" outlineLevel="0" collapsed="false">
      <c r="A22" s="14" t="s">
        <v>40</v>
      </c>
      <c r="B22" s="15" t="s">
        <v>28</v>
      </c>
      <c r="C22" s="16"/>
      <c r="D22" s="16"/>
      <c r="E22" s="16"/>
      <c r="F22" s="16"/>
      <c r="G22" s="16"/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8" t="n">
        <f aca="false">IFERROR(K22*500+L22*-550,0)</f>
        <v>0</v>
      </c>
    </row>
    <row r="23" customFormat="false" ht="15" hidden="false" customHeight="true" outlineLevel="0" collapsed="false">
      <c r="A23" s="10" t="s">
        <v>41</v>
      </c>
      <c r="B23" s="11" t="s">
        <v>18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 t="n">
        <f aca="false">IFERROR(C23*500+D23*-550,0)+IFERROR(K23*500+L23*-550,0)</f>
        <v>0</v>
      </c>
    </row>
    <row r="24" customFormat="false" ht="15" hidden="false" customHeight="true" outlineLevel="0" collapsed="false">
      <c r="A24" s="10" t="s">
        <v>42</v>
      </c>
      <c r="B24" s="11" t="s">
        <v>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 t="n">
        <f aca="false">IFERROR(C24*500+D24*-550,0)+IFERROR(K24*500+L24*-550,0)</f>
        <v>0</v>
      </c>
    </row>
    <row r="25" customFormat="false" ht="15" hidden="false" customHeight="true" outlineLevel="0" collapsed="false">
      <c r="A25" s="10" t="s">
        <v>43</v>
      </c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 t="n">
        <f aca="false">IFERROR(C25*500+D25*-550,0)+IFERROR(K25*500+L25*-550,0)</f>
        <v>0</v>
      </c>
    </row>
    <row r="26" customFormat="false" ht="15" hidden="false" customHeight="true" outlineLevel="0" collapsed="false">
      <c r="A26" s="10" t="s">
        <v>44</v>
      </c>
      <c r="B26" s="11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 t="n">
        <f aca="false">IFERROR(C26*500+D26*-550,0)+IFERROR(K26*500+L26*-550,0)</f>
        <v>0</v>
      </c>
    </row>
    <row r="27" customFormat="false" ht="15" hidden="false" customHeight="true" outlineLevel="0" collapsed="false">
      <c r="A27" s="10" t="s">
        <v>45</v>
      </c>
      <c r="B27" s="11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 t="n">
        <f aca="false">IFERROR(C27*500+D27*-550,0)+IFERROR(K27*500+L27*-550,0)</f>
        <v>0</v>
      </c>
    </row>
    <row r="28" customFormat="false" ht="15" hidden="false" customHeight="true" outlineLevel="0" collapsed="false">
      <c r="A28" s="14" t="s">
        <v>46</v>
      </c>
      <c r="B28" s="15" t="s">
        <v>28</v>
      </c>
      <c r="C28" s="16"/>
      <c r="D28" s="16"/>
      <c r="E28" s="16"/>
      <c r="F28" s="16"/>
      <c r="G28" s="16"/>
      <c r="H28" s="16"/>
      <c r="I28" s="16"/>
      <c r="J28" s="16"/>
      <c r="K28" s="17"/>
      <c r="L28" s="17"/>
      <c r="M28" s="17"/>
      <c r="N28" s="17"/>
      <c r="O28" s="17"/>
      <c r="P28" s="17"/>
      <c r="Q28" s="17"/>
      <c r="R28" s="17"/>
      <c r="S28" s="18" t="n">
        <f aca="false">IFERROR(K28*500+L28*-550,0)</f>
        <v>0</v>
      </c>
    </row>
    <row r="29" customFormat="false" ht="15" hidden="false" customHeight="true" outlineLevel="0" collapsed="false">
      <c r="A29" s="10" t="s">
        <v>47</v>
      </c>
      <c r="B29" s="11" t="s">
        <v>18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 t="n">
        <f aca="false">IFERROR(C29*500+D29*-550,0)+IFERROR(K29*500+L29*-550,0)</f>
        <v>0</v>
      </c>
    </row>
    <row r="30" customFormat="false" ht="15" hidden="false" customHeight="true" outlineLevel="0" collapsed="false">
      <c r="A30" s="10" t="s">
        <v>48</v>
      </c>
      <c r="B30" s="11" t="s">
        <v>20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 t="n">
        <f aca="false">IFERROR(C30*500+D30*-550,0)+IFERROR(K30*500+L30*-550,0)</f>
        <v>0</v>
      </c>
    </row>
    <row r="31" customFormat="false" ht="15" hidden="false" customHeight="true" outlineLevel="0" collapsed="false">
      <c r="A31" s="19" t="s">
        <v>49</v>
      </c>
      <c r="B31" s="20"/>
      <c r="C31" s="21" t="n">
        <f aca="false">SUM(C5:C30)</f>
        <v>0</v>
      </c>
      <c r="D31" s="21" t="n">
        <f aca="false">SUM(D5:D30)</f>
        <v>0</v>
      </c>
      <c r="E31" s="21" t="n">
        <f aca="false">SUM(E5:E30)</f>
        <v>0</v>
      </c>
      <c r="F31" s="21" t="n">
        <f aca="false">SUM(F5:F30)</f>
        <v>0</v>
      </c>
      <c r="G31" s="21" t="n">
        <f aca="false">SUM(G5:G30)</f>
        <v>0</v>
      </c>
      <c r="H31" s="21" t="n">
        <f aca="false">SUM(H5:H30)</f>
        <v>0</v>
      </c>
      <c r="I31" s="21" t="n">
        <f aca="false">SUM(I5:I30)</f>
        <v>0</v>
      </c>
      <c r="J31" s="20"/>
      <c r="K31" s="21" t="n">
        <f aca="false">SUM(K5:K30)</f>
        <v>0</v>
      </c>
      <c r="L31" s="21" t="n">
        <f aca="false">SUM(L5:L30)</f>
        <v>0</v>
      </c>
      <c r="M31" s="21" t="n">
        <f aca="false">SUM(M5:M30)</f>
        <v>0</v>
      </c>
      <c r="N31" s="21" t="n">
        <f aca="false">SUM(N5:N30)</f>
        <v>0</v>
      </c>
      <c r="O31" s="21" t="n">
        <f aca="false">SUM(O5:O30)</f>
        <v>0</v>
      </c>
      <c r="P31" s="21" t="n">
        <f aca="false">SUM(P5:P30)</f>
        <v>0</v>
      </c>
      <c r="Q31" s="21" t="n">
        <f aca="false">SUM(Q5:Q30)</f>
        <v>0</v>
      </c>
      <c r="R31" s="20"/>
      <c r="S31" s="22" t="n">
        <f aca="false">SUM(S5:S30)</f>
        <v>0</v>
      </c>
      <c r="T31" s="23" t="n">
        <f aca="false">IFERROR((C31+K31)/(C31+D31+K31+L31),0)</f>
        <v>0</v>
      </c>
    </row>
    <row r="32" customFormat="false" ht="15" hidden="false" customHeight="true" outlineLevel="0" collapsed="false">
      <c r="A32" s="10" t="s">
        <v>50</v>
      </c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 t="n">
        <f aca="false">IFERROR(C32*500+D32*-550,0)+IFERROR(K32*500+L32*-550,0)</f>
        <v>0</v>
      </c>
    </row>
    <row r="33" customFormat="false" ht="15" hidden="false" customHeight="true" outlineLevel="0" collapsed="false">
      <c r="A33" s="10" t="s">
        <v>51</v>
      </c>
      <c r="B33" s="11" t="s">
        <v>24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 t="n">
        <f aca="false">IFERROR(C33*500+D33*-550,0)+IFERROR(K33*500+L33*-550,0)</f>
        <v>0</v>
      </c>
    </row>
    <row r="34" customFormat="false" ht="15" hidden="false" customHeight="true" outlineLevel="0" collapsed="false">
      <c r="A34" s="14" t="s">
        <v>52</v>
      </c>
      <c r="B34" s="15"/>
      <c r="C34" s="16" t="s">
        <v>53</v>
      </c>
      <c r="D34" s="16" t="s">
        <v>53</v>
      </c>
      <c r="E34" s="16" t="s">
        <v>53</v>
      </c>
      <c r="F34" s="16" t="s">
        <v>53</v>
      </c>
      <c r="G34" s="16" t="s">
        <v>53</v>
      </c>
      <c r="H34" s="16" t="s">
        <v>53</v>
      </c>
      <c r="I34" s="16" t="s">
        <v>53</v>
      </c>
      <c r="J34" s="16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false" customHeight="true" outlineLevel="0" collapsed="false">
      <c r="A35" s="10" t="s">
        <v>54</v>
      </c>
      <c r="B35" s="11" t="s">
        <v>18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 t="n">
        <f aca="false">IFERROR(C35*500+D35*-550,0)+IFERROR(K35*500+L35*-550,0)</f>
        <v>0</v>
      </c>
    </row>
    <row r="36" customFormat="false" ht="15" hidden="false" customHeight="true" outlineLevel="0" collapsed="false">
      <c r="A36" s="10" t="s">
        <v>55</v>
      </c>
      <c r="B36" s="11" t="s">
        <v>20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 t="n">
        <f aca="false">IFERROR(C36*500+D36*-550,0)+IFERROR(K36*500+L36*-550,0)</f>
        <v>0</v>
      </c>
    </row>
    <row r="37" customFormat="false" ht="15" hidden="false" customHeight="true" outlineLevel="0" collapsed="false">
      <c r="A37" s="10" t="s">
        <v>56</v>
      </c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 t="n">
        <f aca="false">IFERROR(C37*500+D37*-550,0)+IFERROR(K37*500+L37*-550,0)</f>
        <v>0</v>
      </c>
    </row>
    <row r="38" customFormat="false" ht="15" hidden="false" customHeight="true" outlineLevel="0" collapsed="false">
      <c r="A38" s="10" t="s">
        <v>57</v>
      </c>
      <c r="B38" s="11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 t="n">
        <f aca="false">IFERROR(C38*500+D38*-550,0)+IFERROR(K38*500+L38*-550,0)</f>
        <v>0</v>
      </c>
    </row>
    <row r="39" customFormat="false" ht="15" hidden="false" customHeight="true" outlineLevel="0" collapsed="false">
      <c r="A39" s="10" t="s">
        <v>58</v>
      </c>
      <c r="B39" s="11" t="s">
        <v>26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 t="n">
        <f aca="false">IFERROR(C39*500+D39*-550,0)+IFERROR(K39*500+L39*-550,0)</f>
        <v>0</v>
      </c>
    </row>
    <row r="40" customFormat="false" ht="15" hidden="false" customHeight="true" outlineLevel="0" collapsed="false">
      <c r="A40" s="14" t="s">
        <v>59</v>
      </c>
      <c r="B40" s="15" t="s">
        <v>28</v>
      </c>
      <c r="C40" s="16"/>
      <c r="D40" s="16"/>
      <c r="E40" s="16"/>
      <c r="F40" s="16"/>
      <c r="G40" s="16"/>
      <c r="H40" s="16"/>
      <c r="I40" s="16"/>
      <c r="J40" s="16"/>
      <c r="K40" s="17"/>
      <c r="L40" s="17"/>
      <c r="M40" s="17"/>
      <c r="N40" s="17"/>
      <c r="O40" s="17"/>
      <c r="P40" s="17"/>
      <c r="Q40" s="17"/>
      <c r="R40" s="17"/>
      <c r="S40" s="18" t="n">
        <f aca="false">IFERROR(K40*500+L40*-550,0)</f>
        <v>0</v>
      </c>
    </row>
    <row r="41" customFormat="false" ht="15" hidden="false" customHeight="true" outlineLevel="0" collapsed="false">
      <c r="A41" s="10" t="s">
        <v>60</v>
      </c>
      <c r="B41" s="11" t="s">
        <v>18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 t="n">
        <f aca="false">IFERROR(C41*500+D41*-550,0)+IFERROR(K41*500+L41*-550,0)</f>
        <v>0</v>
      </c>
    </row>
    <row r="42" customFormat="false" ht="15" hidden="false" customHeight="true" outlineLevel="0" collapsed="false">
      <c r="A42" s="10" t="s">
        <v>61</v>
      </c>
      <c r="B42" s="11" t="s">
        <v>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 t="n">
        <f aca="false">IFERROR(C42*500+D42*-550,0)+IFERROR(K42*500+L42*-550,0)</f>
        <v>0</v>
      </c>
    </row>
    <row r="43" customFormat="false" ht="15" hidden="false" customHeight="true" outlineLevel="0" collapsed="false">
      <c r="A43" s="10" t="s">
        <v>62</v>
      </c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 t="n">
        <f aca="false">IFERROR(C43*500+D43*-550,0)+IFERROR(K43*500+L43*-550,0)</f>
        <v>0</v>
      </c>
    </row>
    <row r="44" customFormat="false" ht="15" hidden="false" customHeight="true" outlineLevel="0" collapsed="false">
      <c r="A44" s="10" t="s">
        <v>63</v>
      </c>
      <c r="B44" s="11" t="s">
        <v>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 t="n">
        <f aca="false">IFERROR(C44*500+D44*-550,0)+IFERROR(K44*500+L44*-550,0)</f>
        <v>0</v>
      </c>
    </row>
    <row r="45" customFormat="false" ht="15" hidden="false" customHeight="true" outlineLevel="0" collapsed="false">
      <c r="A45" s="10" t="s">
        <v>64</v>
      </c>
      <c r="B45" s="11" t="s">
        <v>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 t="n">
        <f aca="false">IFERROR(C45*500+D45*-550,0)+IFERROR(K45*500+L45*-550,0)</f>
        <v>0</v>
      </c>
    </row>
    <row r="46" customFormat="false" ht="15" hidden="false" customHeight="true" outlineLevel="0" collapsed="false">
      <c r="A46" s="14" t="s">
        <v>65</v>
      </c>
      <c r="B46" s="15" t="s">
        <v>28</v>
      </c>
      <c r="C46" s="16"/>
      <c r="D46" s="16"/>
      <c r="E46" s="16"/>
      <c r="F46" s="16"/>
      <c r="G46" s="16"/>
      <c r="H46" s="16"/>
      <c r="I46" s="16"/>
      <c r="J46" s="16"/>
      <c r="K46" s="17"/>
      <c r="L46" s="17"/>
      <c r="M46" s="17"/>
      <c r="N46" s="17"/>
      <c r="O46" s="17"/>
      <c r="P46" s="17"/>
      <c r="Q46" s="17"/>
      <c r="R46" s="17"/>
      <c r="S46" s="18" t="n">
        <f aca="false">IFERROR(K46*500+L46*-550,0)</f>
        <v>0</v>
      </c>
    </row>
    <row r="47" customFormat="false" ht="15" hidden="false" customHeight="true" outlineLevel="0" collapsed="false">
      <c r="A47" s="10" t="s">
        <v>66</v>
      </c>
      <c r="B47" s="11" t="s">
        <v>18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 t="n">
        <f aca="false">IFERROR(C47*500+D47*-550,0)+IFERROR(K47*500+L47*-550,0)</f>
        <v>0</v>
      </c>
    </row>
    <row r="48" customFormat="false" ht="15" hidden="false" customHeight="true" outlineLevel="0" collapsed="false">
      <c r="A48" s="10" t="s">
        <v>67</v>
      </c>
      <c r="B48" s="11" t="s">
        <v>20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 t="n">
        <f aca="false">IFERROR(C48*500+D48*-550,0)+IFERROR(K48*500+L48*-550,0)</f>
        <v>0</v>
      </c>
    </row>
    <row r="49" customFormat="false" ht="15" hidden="false" customHeight="true" outlineLevel="0" collapsed="false">
      <c r="A49" s="10" t="s">
        <v>68</v>
      </c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 t="n">
        <f aca="false">IFERROR(C49*500+D49*-550,0)+IFERROR(K49*500+L49*-550,0)</f>
        <v>0</v>
      </c>
    </row>
    <row r="50" customFormat="false" ht="15" hidden="false" customHeight="true" outlineLevel="0" collapsed="false">
      <c r="A50" s="19" t="s">
        <v>69</v>
      </c>
      <c r="B50" s="20"/>
      <c r="C50" s="21" t="n">
        <f aca="false">SUM(C32:C49)</f>
        <v>0</v>
      </c>
      <c r="D50" s="21" t="n">
        <f aca="false">SUM(D32:D49)</f>
        <v>0</v>
      </c>
      <c r="E50" s="21" t="n">
        <f aca="false">SUM(E32:E49)</f>
        <v>0</v>
      </c>
      <c r="F50" s="21" t="n">
        <f aca="false">SUM(F32:F49)</f>
        <v>0</v>
      </c>
      <c r="G50" s="21" t="n">
        <f aca="false">SUM(G32:G49)</f>
        <v>0</v>
      </c>
      <c r="H50" s="21" t="n">
        <f aca="false">SUM(H32:H49)</f>
        <v>0</v>
      </c>
      <c r="I50" s="21" t="n">
        <f aca="false">SUM(I32:I49)</f>
        <v>0</v>
      </c>
      <c r="J50" s="20"/>
      <c r="K50" s="21" t="n">
        <f aca="false">SUM(K32:K49)</f>
        <v>0</v>
      </c>
      <c r="L50" s="21" t="n">
        <f aca="false">SUM(L32:L49)</f>
        <v>0</v>
      </c>
      <c r="M50" s="21" t="n">
        <f aca="false">SUM(M32:M49)</f>
        <v>0</v>
      </c>
      <c r="N50" s="21" t="n">
        <f aca="false">SUM(N32:N49)</f>
        <v>0</v>
      </c>
      <c r="O50" s="21" t="n">
        <f aca="false">SUM(O32:O49)</f>
        <v>0</v>
      </c>
      <c r="P50" s="21" t="n">
        <f aca="false">SUM(P32:P49)</f>
        <v>0</v>
      </c>
      <c r="Q50" s="21" t="n">
        <f aca="false">SUM(Q32:Q49)</f>
        <v>0</v>
      </c>
      <c r="R50" s="20"/>
      <c r="S50" s="22" t="n">
        <f aca="false">SUM(S32:S49)</f>
        <v>0</v>
      </c>
      <c r="T50" s="23" t="n">
        <f aca="false">IFERROR((C50+K50)/(C50+D50+K50+L50),0)</f>
        <v>0</v>
      </c>
    </row>
    <row r="51" customFormat="false" ht="15" hidden="false" customHeight="true" outlineLevel="0" collapsed="false">
      <c r="A51" s="19" t="s">
        <v>70</v>
      </c>
      <c r="B51" s="20"/>
      <c r="C51" s="21"/>
      <c r="D51" s="21"/>
      <c r="E51" s="21"/>
      <c r="F51" s="21"/>
      <c r="G51" s="21"/>
      <c r="H51" s="21"/>
      <c r="I51" s="21"/>
      <c r="J51" s="20"/>
      <c r="K51" s="21"/>
      <c r="L51" s="21"/>
      <c r="M51" s="21"/>
      <c r="N51" s="21"/>
      <c r="O51" s="21"/>
      <c r="P51" s="21"/>
      <c r="Q51" s="21"/>
      <c r="R51" s="20"/>
      <c r="S51" s="22" t="n">
        <f aca="false">S31+S50</f>
        <v>0</v>
      </c>
      <c r="T51" s="24" t="n">
        <f aca="false">IFERROR((C31+K31+C50+K50)/(C31+D31+K31+L31+C50+D50+K50+L50),0)</f>
        <v>0</v>
      </c>
    </row>
  </sheetData>
  <mergeCells count="6">
    <mergeCell ref="A1:S1"/>
    <mergeCell ref="A2:B2"/>
    <mergeCell ref="C2:J2"/>
    <mergeCell ref="K2:R2"/>
    <mergeCell ref="S2:S3"/>
    <mergeCell ref="A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2026-07-25T21:27:27Z</dcterms:created>
  <dc:creator>openpyxl</dc:creator>
  <dc:description/>
  <dc:language>en-US</dc:language>
  <cp:lastModifiedBy/>
  <dcterms:modified xsi:type="dcterms:W3CDTF">2026-08-01T22:45:00Z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