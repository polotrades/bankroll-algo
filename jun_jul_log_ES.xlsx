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–Jul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<sst xmlns="http://schemas.openxmlformats.org/spreadsheetml/2006/main" count="122" uniqueCount="71">
  <si>
    <t xml:space="preserve">THE REBOUND  —  ES FUTURES  |  WIN $450 / LOSS $1,100  |  JUNE–JULY 2026</t>
  </si>
  <si>
    <t xml:space="preserve">DATE / DAY</t>
  </si>
  <si>
    <t xml:space="preserve">NY SESSION  (6:30 AM PT — weekdays only)</t>
  </si>
  <si>
    <t xml:space="preserve">ASIA SESSION  (3:00 PM PT — incl. Sundays)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</si>
  <si>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</si>
  <si>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</si>
  <si>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</si>
  <si>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</si>
  <si>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</si>
  <si>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L✓</t>
  </si>
  <si>
    <t xml:space="preserve">L✗</t>
  </si>
  <si>
    <t xml:space="preserve">S✓</t>
  </si>
  <si>
    <t xml:space="preserve">S✗</t>
  </si>
  <si>
    <t xml:space="preserve">SKIP</t>
  </si>
  <si>
    <t xml:space="preserve">E/L</t>
  </si>
  <si>
    <t xml:space="preserve">WIN RATE</t>
  </si>
  <si>
    <t xml:space="preserve">W=Wins  L=Losses  L✓=Longs Won  L✗=Longs Lost  S✓=Shorts Won  S✗=Shorts Lost  SKIP=# skips  E/L = E(early &lt;30min) or L(late &gt;30min)   ★ SUNDAY = Asia only</t>
  </si>
  <si>
    <t xml:space="preserve">Jun 1</t>
  </si>
  <si>
    <t xml:space="preserve">Mon</t>
  </si>
  <si>
    <t xml:space="preserve">Jun 2</t>
  </si>
  <si>
    <t xml:space="preserve">Tue</t>
  </si>
  <si>
    <t xml:space="preserve">Jun 3</t>
  </si>
  <si>
    <t xml:space="preserve">Wed</t>
  </si>
  <si>
    <t xml:space="preserve">Jun 4</t>
  </si>
  <si>
    <t xml:space="preserve">Thu</t>
  </si>
  <si>
    <t xml:space="preserve">Jun 5</t>
  </si>
  <si>
    <t xml:space="preserve">Fri</t>
  </si>
  <si>
    <t xml:space="preserve">Jun 7</t>
  </si>
  <si>
    <t xml:space="preserve">SUN ★</t>
  </si>
  <si>
    <t xml:space="preserve">Jun 8</t>
  </si>
  <si>
    <t xml:space="preserve">Jun 9</t>
  </si>
  <si>
    <t xml:space="preserve">Jun 10</t>
  </si>
  <si>
    <t xml:space="preserve">Jun 11</t>
  </si>
  <si>
    <t xml:space="preserve">Jun 12</t>
  </si>
  <si>
    <t xml:space="preserve">Jun 14</t>
  </si>
  <si>
    <t xml:space="preserve">Jun 15</t>
  </si>
  <si>
    <t xml:space="preserve">Jun 16</t>
  </si>
  <si>
    <t xml:space="preserve">Jun 17</t>
  </si>
  <si>
    <t xml:space="preserve">Jun 18</t>
  </si>
  <si>
    <t xml:space="preserve">Jun 19</t>
  </si>
  <si>
    <t xml:space="preserve">Jun 21</t>
  </si>
  <si>
    <t xml:space="preserve">Jun 22</t>
  </si>
  <si>
    <t xml:space="preserve">Jun 23</t>
  </si>
  <si>
    <t xml:space="preserve">Jun 24</t>
  </si>
  <si>
    <t xml:space="preserve">Jun 25</t>
  </si>
  <si>
    <t xml:space="preserve">Jun 26</t>
  </si>
  <si>
    <t xml:space="preserve">Jun 28</t>
  </si>
  <si>
    <t xml:space="preserve">Jun 29</t>
  </si>
  <si>
    <t xml:space="preserve">Jun 30</t>
  </si>
  <si>
    <t xml:space="preserve">  ★  JUNE  TOTAL</t>
  </si>
  <si>
    <t xml:space="preserve">Jul 1</t>
  </si>
  <si>
    <t xml:space="preserve">Jul 2</t>
  </si>
  <si>
    <t xml:space="preserve">Jul 5</t>
  </si>
  <si>
    <t xml:space="preserve">—</t>
  </si>
  <si>
    <t xml:space="preserve">Jul 6</t>
  </si>
  <si>
    <t xml:space="preserve">Jul 7</t>
  </si>
  <si>
    <t xml:space="preserve">Jul 8</t>
  </si>
  <si>
    <t xml:space="preserve">Jul 9</t>
  </si>
  <si>
    <t xml:space="preserve">Jul 10</t>
  </si>
  <si>
    <t xml:space="preserve">Jul 12</t>
  </si>
  <si>
    <t xml:space="preserve">Jul 13</t>
  </si>
  <si>
    <t xml:space="preserve">Jul 14</t>
  </si>
  <si>
    <t xml:space="preserve">Jul 15</t>
  </si>
  <si>
    <t xml:space="preserve">Jul 16</t>
  </si>
  <si>
    <t xml:space="preserve">Jul 17</t>
  </si>
  <si>
    <t xml:space="preserve">Jul 19</t>
  </si>
  <si>
    <t xml:space="preserve">Jul 20</t>
  </si>
  <si>
    <t xml:space="preserve">Jul 21</t>
  </si>
  <si>
    <t xml:space="preserve">Jul 22</t>
  </si>
  <si>
    <t xml:space="preserve">  ★  JULY  TOTAL</t>
  </si>
  <si>
    <t xml:space="preserve">OVERALL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</si>
</sst>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\$#,##0;&quot;-$&quot;#,##0;\-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b val="true"/>
      <sz val="9"/>
      <name val="Cambria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6A02D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10"/>
      <color rgb="FF7B74D6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0F0F0F"/>
      </patternFill>
    </fill>
    <fill>
      <patternFill patternType="solid">
        <fgColor rgb="FF141414"/>
        <bgColor rgb="FF181220"/>
      </patternFill>
    </fill>
    <fill>
      <patternFill patternType="solid">
        <fgColor rgb="FF181220"/>
        <bgColor rgb="FF141414"/>
      </patternFill>
    </fill>
    <fill>
      <patternFill patternType="solid">
        <fgColor rgb="FF0F0F0F"/>
        <bgColor rgb="FF0E0E0E"/>
      </patternFill>
    </fill>
    <fill>
      <patternFill patternType="solid">
        <fgColor rgb="FF1C1057"/>
        <bgColor rgb="FF1812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52525"/>
      </left>
      <right/>
      <top style="thin">
        <color rgb="FF252525"/>
      </top>
      <bottom style="thin">
        <color rgb="FF252525"/>
      </bottom>
      <diagonal/>
    </border>
    <border diagonalUp="false" diagonalDown="false"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0F0F0F"/>
      <rgbColor rgb="FFFF8080"/>
      <rgbColor rgb="FF0066CC"/>
      <rgbColor rgb="FFCCCCFF"/>
      <rgbColor rgb="FF0E0E0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181220"/>
      <rgbColor rgb="FF1D9E75"/>
      <rgbColor rgb="FF141414"/>
      <rgbColor rgb="FF252525"/>
      <rgbColor rgb="FF993300"/>
      <rgbColor rgb="FF993366"/>
      <rgbColor rgb="FF534AB7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9" min="3" style="0" width="5"/>
    <col collapsed="false" customWidth="true" hidden="false" outlineLevel="0" max="10" min="10" style="0" width="8"/>
    <col collapsed="false" customWidth="true" hidden="false" outlineLevel="0" max="17" min="11" style="0" width="5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4" t="s">
        <v>3</v>
      </c>
      <c r="L2" s="4"/>
      <c r="M2" s="4"/>
      <c r="N2" s="4"/>
      <c r="O2" s="4"/>
      <c r="P2" s="4"/>
      <c r="Q2" s="4"/>
      <c r="R2" s="4"/>
      <c r="S2" s="5" t="s">
        <v>4</v>
      </c>
    </row>
    <row r="3" customFormat="false" ht="15" hidden="false" customHeight="fals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5"/>
      <c r="T3" s="7" t="s">
        <v>15</v>
      </c>
    </row>
    <row r="4" customFormat="false" ht="15" hidden="false" customHeight="false" outlineLevel="0" collapsed="false">
      <c r="A4" s="8" t="s">
        <v>16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15" hidden="false" customHeight="false" outlineLevel="0" collapsed="false">
      <c r="A5" s="9" t="s">
        <v>17</v>
      </c>
      <c r="B5" s="10" t="s">
        <v>18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 t="n">
        <f aca="false">IFERROR(C5*450+D5*-1100,0)+IFERROR(K5*450+L5*-1100,0)</f>
        <v>0</v>
      </c>
    </row>
    <row r="6" customFormat="false" ht="15" hidden="false" customHeight="false" outlineLevel="0" collapsed="false">
      <c r="A6" s="9" t="s">
        <v>19</v>
      </c>
      <c r="B6" s="10" t="s">
        <v>20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 t="n">
        <f aca="false">IFERROR(C6*450+D6*-1100,0)+IFERROR(K6*450+L6*-1100,0)</f>
        <v>0</v>
      </c>
    </row>
    <row r="7" customFormat="false" ht="15" hidden="false" customHeight="false" outlineLevel="0" collapsed="false">
      <c r="A7" s="9" t="s">
        <v>21</v>
      </c>
      <c r="B7" s="10" t="s">
        <v>22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 t="n">
        <f aca="false">IFERROR(C7*450+D7*-1100,0)+IFERROR(K7*450+L7*-1100,0)</f>
        <v>0</v>
      </c>
    </row>
    <row r="8" customFormat="false" ht="15" hidden="false" customHeight="false" outlineLevel="0" collapsed="false">
      <c r="A8" s="9" t="s">
        <v>23</v>
      </c>
      <c r="B8" s="10" t="s">
        <v>24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 t="n">
        <f aca="false">IFERROR(C8*450+D8*-1100,0)+IFERROR(K8*450+L8*-1100,0)</f>
        <v>0</v>
      </c>
    </row>
    <row r="9" customFormat="false" ht="15" hidden="false" customHeight="false" outlineLevel="0" collapsed="false">
      <c r="A9" s="9" t="s">
        <v>25</v>
      </c>
      <c r="B9" s="10" t="s">
        <v>26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 t="n">
        <f aca="false">IFERROR(C9*450+D9*-1100,0)+IFERROR(K9*450+L9*-1100,0)</f>
        <v>0</v>
      </c>
    </row>
    <row r="10" customFormat="false" ht="15" hidden="false" customHeight="false" outlineLevel="0" collapsed="false">
      <c r="A10" s="13" t="s">
        <v>27</v>
      </c>
      <c r="B10" s="14" t="s">
        <v>28</v>
      </c>
      <c r="C10" s="15"/>
      <c r="D10" s="15"/>
      <c r="E10" s="15"/>
      <c r="F10" s="15"/>
      <c r="G10" s="15"/>
      <c r="H10" s="15"/>
      <c r="I10" s="15"/>
      <c r="J10" s="15"/>
      <c r="K10" s="16"/>
      <c r="L10" s="16"/>
      <c r="M10" s="16"/>
      <c r="N10" s="16"/>
      <c r="O10" s="16"/>
      <c r="P10" s="16"/>
      <c r="Q10" s="16"/>
      <c r="R10" s="16"/>
      <c r="S10" s="17" t="n">
        <f aca="false">IFERROR(K10*450+L10*-1100,0)</f>
        <v>0</v>
      </c>
    </row>
    <row r="11" customFormat="false" ht="15" hidden="false" customHeight="false" outlineLevel="0" collapsed="false">
      <c r="A11" s="9" t="s">
        <v>29</v>
      </c>
      <c r="B11" s="10" t="s">
        <v>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 t="n">
        <f aca="false">IFERROR(C11*450+D11*-1100,0)+IFERROR(K11*450+L11*-1100,0)</f>
        <v>0</v>
      </c>
    </row>
    <row r="12" customFormat="false" ht="15" hidden="false" customHeight="false" outlineLevel="0" collapsed="false">
      <c r="A12" s="9" t="s">
        <v>30</v>
      </c>
      <c r="B12" s="10" t="s">
        <v>20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 t="n">
        <f aca="false">IFERROR(C12*450+D12*-1100,0)+IFERROR(K12*450+L12*-1100,0)</f>
        <v>0</v>
      </c>
    </row>
    <row r="13" customFormat="false" ht="15" hidden="false" customHeight="false" outlineLevel="0" collapsed="false">
      <c r="A13" s="9" t="s">
        <v>31</v>
      </c>
      <c r="B13" s="10" t="s">
        <v>22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 t="n">
        <f aca="false">IFERROR(C13*450+D13*-1100,0)+IFERROR(K13*450+L13*-1100,0)</f>
        <v>0</v>
      </c>
    </row>
    <row r="14" customFormat="false" ht="15" hidden="false" customHeight="false" outlineLevel="0" collapsed="false">
      <c r="A14" s="9" t="s">
        <v>32</v>
      </c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 t="n">
        <f aca="false">IFERROR(C14*450+D14*-1100,0)+IFERROR(K14*450+L14*-1100,0)</f>
        <v>0</v>
      </c>
    </row>
    <row r="15" customFormat="false" ht="15" hidden="false" customHeight="false" outlineLevel="0" collapsed="false">
      <c r="A15" s="9" t="s">
        <v>33</v>
      </c>
      <c r="B15" s="10" t="s">
        <v>26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n">
        <f aca="false">IFERROR(C15*450+D15*-1100,0)+IFERROR(K15*450+L15*-1100,0)</f>
        <v>0</v>
      </c>
    </row>
    <row r="16" customFormat="false" ht="15" hidden="false" customHeight="false" outlineLevel="0" collapsed="false">
      <c r="A16" s="13" t="s">
        <v>34</v>
      </c>
      <c r="B16" s="14" t="s">
        <v>28</v>
      </c>
      <c r="C16" s="15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6"/>
      <c r="P16" s="16"/>
      <c r="Q16" s="16"/>
      <c r="R16" s="16"/>
      <c r="S16" s="17" t="n">
        <f aca="false">IFERROR(K16*450+L16*-1100,0)</f>
        <v>0</v>
      </c>
    </row>
    <row r="17" customFormat="false" ht="15" hidden="false" customHeight="false" outlineLevel="0" collapsed="false">
      <c r="A17" s="9" t="s">
        <v>35</v>
      </c>
      <c r="B17" s="10" t="s">
        <v>18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 t="n">
        <f aca="false">IFERROR(C17*450+D17*-1100,0)+IFERROR(K17*450+L17*-1100,0)</f>
        <v>0</v>
      </c>
    </row>
    <row r="18" customFormat="false" ht="15" hidden="false" customHeight="false" outlineLevel="0" collapsed="false">
      <c r="A18" s="9" t="s">
        <v>36</v>
      </c>
      <c r="B18" s="10" t="s">
        <v>20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 t="n">
        <f aca="false">IFERROR(C18*450+D18*-1100,0)+IFERROR(K18*450+L18*-1100,0)</f>
        <v>0</v>
      </c>
    </row>
    <row r="19" customFormat="false" ht="15" hidden="false" customHeight="false" outlineLevel="0" collapsed="false">
      <c r="A19" s="9" t="s">
        <v>37</v>
      </c>
      <c r="B19" s="10" t="s">
        <v>22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2" t="n">
        <f aca="false">IFERROR(C19*450+D19*-1100,0)+IFERROR(K19*450+L19*-1100,0)</f>
        <v>0</v>
      </c>
    </row>
    <row r="20" customFormat="false" ht="15" hidden="false" customHeight="false" outlineLevel="0" collapsed="false">
      <c r="A20" s="9" t="s">
        <v>38</v>
      </c>
      <c r="B20" s="10" t="s">
        <v>24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 t="n">
        <f aca="false">IFERROR(C20*450+D20*-1100,0)+IFERROR(K20*450+L20*-1100,0)</f>
        <v>0</v>
      </c>
    </row>
    <row r="21" customFormat="false" ht="15" hidden="false" customHeight="false" outlineLevel="0" collapsed="false">
      <c r="A21" s="9" t="s">
        <v>39</v>
      </c>
      <c r="B21" s="10" t="s">
        <v>26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2" t="n">
        <f aca="false">IFERROR(C21*450+D21*-1100,0)+IFERROR(K21*450+L21*-1100,0)</f>
        <v>0</v>
      </c>
    </row>
    <row r="22" customFormat="false" ht="15" hidden="false" customHeight="false" outlineLevel="0" collapsed="false">
      <c r="A22" s="13" t="s">
        <v>40</v>
      </c>
      <c r="B22" s="14" t="s">
        <v>28</v>
      </c>
      <c r="C22" s="15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16"/>
      <c r="O22" s="16"/>
      <c r="P22" s="16"/>
      <c r="Q22" s="16"/>
      <c r="R22" s="16"/>
      <c r="S22" s="17" t="n">
        <f aca="false">IFERROR(K22*450+L22*-1100,0)</f>
        <v>0</v>
      </c>
    </row>
    <row r="23" customFormat="false" ht="15" hidden="false" customHeight="false" outlineLevel="0" collapsed="false">
      <c r="A23" s="9" t="s">
        <v>41</v>
      </c>
      <c r="B23" s="10" t="s">
        <v>18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 t="n">
        <f aca="false">IFERROR(C23*450+D23*-1100,0)+IFERROR(K23*450+L23*-1100,0)</f>
        <v>0</v>
      </c>
    </row>
    <row r="24" customFormat="false" ht="15" hidden="false" customHeight="false" outlineLevel="0" collapsed="false">
      <c r="A24" s="9" t="s">
        <v>42</v>
      </c>
      <c r="B24" s="10" t="s">
        <v>20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 t="n">
        <f aca="false">IFERROR(C24*450+D24*-1100,0)+IFERROR(K24*450+L24*-1100,0)</f>
        <v>0</v>
      </c>
    </row>
    <row r="25" customFormat="false" ht="15" hidden="false" customHeight="false" outlineLevel="0" collapsed="false">
      <c r="A25" s="9" t="s">
        <v>43</v>
      </c>
      <c r="B25" s="10" t="s">
        <v>22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 t="n">
        <f aca="false">IFERROR(C25*450+D25*-1100,0)+IFERROR(K25*450+L25*-1100,0)</f>
        <v>0</v>
      </c>
    </row>
    <row r="26" customFormat="false" ht="15" hidden="false" customHeight="false" outlineLevel="0" collapsed="false">
      <c r="A26" s="9" t="s">
        <v>44</v>
      </c>
      <c r="B26" s="10" t="s">
        <v>24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 t="n">
        <f aca="false">IFERROR(C26*450+D26*-1100,0)+IFERROR(K26*450+L26*-1100,0)</f>
        <v>0</v>
      </c>
    </row>
    <row r="27" customFormat="false" ht="15" hidden="false" customHeight="false" outlineLevel="0" collapsed="false">
      <c r="A27" s="9" t="s">
        <v>45</v>
      </c>
      <c r="B27" s="10" t="s">
        <v>26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 t="n">
        <f aca="false">IFERROR(C27*450+D27*-1100,0)+IFERROR(K27*450+L27*-1100,0)</f>
        <v>0</v>
      </c>
    </row>
    <row r="28" customFormat="false" ht="15" hidden="false" customHeight="false" outlineLevel="0" collapsed="false">
      <c r="A28" s="13" t="s">
        <v>46</v>
      </c>
      <c r="B28" s="14" t="s">
        <v>28</v>
      </c>
      <c r="C28" s="15"/>
      <c r="D28" s="15"/>
      <c r="E28" s="15"/>
      <c r="F28" s="15"/>
      <c r="G28" s="15"/>
      <c r="H28" s="15"/>
      <c r="I28" s="15"/>
      <c r="J28" s="15"/>
      <c r="K28" s="16"/>
      <c r="L28" s="16"/>
      <c r="M28" s="16"/>
      <c r="N28" s="16"/>
      <c r="O28" s="16"/>
      <c r="P28" s="16"/>
      <c r="Q28" s="16"/>
      <c r="R28" s="16"/>
      <c r="S28" s="17" t="n">
        <f aca="false">IFERROR(K28*450+L28*-1100,0)</f>
        <v>0</v>
      </c>
    </row>
    <row r="29" customFormat="false" ht="15" hidden="false" customHeight="false" outlineLevel="0" collapsed="false">
      <c r="A29" s="9" t="s">
        <v>47</v>
      </c>
      <c r="B29" s="10" t="s">
        <v>18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 t="n">
        <f aca="false">IFERROR(C29*450+D29*-1100,0)+IFERROR(K29*450+L29*-1100,0)</f>
        <v>0</v>
      </c>
    </row>
    <row r="30" customFormat="false" ht="15" hidden="false" customHeight="false" outlineLevel="0" collapsed="false">
      <c r="A30" s="9" t="s">
        <v>48</v>
      </c>
      <c r="B30" s="10" t="s">
        <v>20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 t="n">
        <f aca="false">IFERROR(C30*450+D30*-1100,0)+IFERROR(K30*450+L30*-1100,0)</f>
        <v>0</v>
      </c>
    </row>
    <row r="31" customFormat="false" ht="15" hidden="false" customHeight="false" outlineLevel="0" collapsed="false">
      <c r="A31" s="18" t="s">
        <v>49</v>
      </c>
      <c r="B31" s="19"/>
      <c r="C31" s="20" t="n">
        <f aca="false">SUM(C5:C30)</f>
        <v>0</v>
      </c>
      <c r="D31" s="20" t="n">
        <f aca="false">SUM(D5:D30)</f>
        <v>0</v>
      </c>
      <c r="E31" s="20" t="n">
        <f aca="false">SUM(E5:E30)</f>
        <v>0</v>
      </c>
      <c r="F31" s="20" t="n">
        <f aca="false">SUM(F5:F30)</f>
        <v>0</v>
      </c>
      <c r="G31" s="20" t="n">
        <f aca="false">SUM(G5:G30)</f>
        <v>0</v>
      </c>
      <c r="H31" s="20" t="n">
        <f aca="false">SUM(H5:H30)</f>
        <v>0</v>
      </c>
      <c r="I31" s="20" t="n">
        <f aca="false">SUM(I5:I30)</f>
        <v>0</v>
      </c>
      <c r="J31" s="19"/>
      <c r="K31" s="20" t="n">
        <f aca="false">SUM(K5:K30)</f>
        <v>0</v>
      </c>
      <c r="L31" s="20" t="n">
        <f aca="false">SUM(L5:L30)</f>
        <v>0</v>
      </c>
      <c r="M31" s="20" t="n">
        <f aca="false">SUM(M5:M30)</f>
        <v>0</v>
      </c>
      <c r="N31" s="20" t="n">
        <f aca="false">SUM(N5:N30)</f>
        <v>0</v>
      </c>
      <c r="O31" s="20" t="n">
        <f aca="false">SUM(O5:O30)</f>
        <v>0</v>
      </c>
      <c r="P31" s="20" t="n">
        <f aca="false">SUM(P5:P30)</f>
        <v>0</v>
      </c>
      <c r="Q31" s="20" t="n">
        <f aca="false">SUM(Q5:Q30)</f>
        <v>0</v>
      </c>
      <c r="R31" s="19"/>
      <c r="S31" s="21" t="n">
        <f aca="false">SUM(S5:S30)</f>
        <v>0</v>
      </c>
      <c r="T31" s="22" t="n">
        <f aca="false">IFERROR((C31+K31)/(C31+D31+K31+L31),0)</f>
        <v>0</v>
      </c>
    </row>
    <row r="32" customFormat="false" ht="15" hidden="false" customHeight="false" outlineLevel="0" collapsed="false">
      <c r="A32" s="9" t="s">
        <v>50</v>
      </c>
      <c r="B32" s="10" t="s">
        <v>22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 t="n">
        <f aca="false">IFERROR(C32*450+D32*-1100,0)+IFERROR(K32*450+L32*-1100,0)</f>
        <v>0</v>
      </c>
    </row>
    <row r="33" customFormat="false" ht="15" hidden="false" customHeight="false" outlineLevel="0" collapsed="false">
      <c r="A33" s="9" t="s">
        <v>51</v>
      </c>
      <c r="B33" s="10" t="s">
        <v>24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 t="n">
        <f aca="false">IFERROR(C33*450+D33*-1100,0)+IFERROR(K33*450+L33*-1100,0)</f>
        <v>0</v>
      </c>
    </row>
    <row r="34" customFormat="false" ht="15" hidden="false" customHeight="false" outlineLevel="0" collapsed="false">
      <c r="A34" s="13" t="s">
        <v>52</v>
      </c>
      <c r="B34" s="14"/>
      <c r="C34" s="15" t="s">
        <v>53</v>
      </c>
      <c r="D34" s="15" t="s">
        <v>53</v>
      </c>
      <c r="E34" s="15" t="s">
        <v>53</v>
      </c>
      <c r="F34" s="15" t="s">
        <v>53</v>
      </c>
      <c r="G34" s="15" t="s">
        <v>53</v>
      </c>
      <c r="H34" s="15" t="s">
        <v>53</v>
      </c>
      <c r="I34" s="15" t="s">
        <v>53</v>
      </c>
      <c r="J34" s="15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false" customHeight="false" outlineLevel="0" collapsed="false">
      <c r="A35" s="9" t="s">
        <v>54</v>
      </c>
      <c r="B35" s="10" t="s">
        <v>18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 t="n">
        <f aca="false">IFERROR(C35*450+D35*-1100,0)+IFERROR(K35*450+L35*-1100,0)</f>
        <v>0</v>
      </c>
    </row>
    <row r="36" customFormat="false" ht="15" hidden="false" customHeight="false" outlineLevel="0" collapsed="false">
      <c r="A36" s="9" t="s">
        <v>55</v>
      </c>
      <c r="B36" s="10" t="s">
        <v>20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 t="n">
        <f aca="false">IFERROR(C36*450+D36*-1100,0)+IFERROR(K36*450+L36*-1100,0)</f>
        <v>0</v>
      </c>
    </row>
    <row r="37" customFormat="false" ht="15" hidden="false" customHeight="false" outlineLevel="0" collapsed="false">
      <c r="A37" s="9" t="s">
        <v>56</v>
      </c>
      <c r="B37" s="10" t="s">
        <v>22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 t="n">
        <f aca="false">IFERROR(C37*450+D37*-1100,0)+IFERROR(K37*450+L37*-1100,0)</f>
        <v>0</v>
      </c>
    </row>
    <row r="38" customFormat="false" ht="15" hidden="false" customHeight="false" outlineLevel="0" collapsed="false">
      <c r="A38" s="9" t="s">
        <v>57</v>
      </c>
      <c r="B38" s="10" t="s">
        <v>24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 t="n">
        <f aca="false">IFERROR(C38*450+D38*-1100,0)+IFERROR(K38*450+L38*-1100,0)</f>
        <v>0</v>
      </c>
    </row>
    <row r="39" customFormat="false" ht="15" hidden="false" customHeight="false" outlineLevel="0" collapsed="false">
      <c r="A39" s="9" t="s">
        <v>58</v>
      </c>
      <c r="B39" s="10" t="s">
        <v>26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 t="n">
        <f aca="false">IFERROR(C39*450+D39*-1100,0)+IFERROR(K39*450+L39*-1100,0)</f>
        <v>0</v>
      </c>
    </row>
    <row r="40" customFormat="false" ht="15" hidden="false" customHeight="false" outlineLevel="0" collapsed="false">
      <c r="A40" s="13" t="s">
        <v>59</v>
      </c>
      <c r="B40" s="14" t="s">
        <v>28</v>
      </c>
      <c r="C40" s="15"/>
      <c r="D40" s="15"/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6"/>
      <c r="P40" s="16"/>
      <c r="Q40" s="16"/>
      <c r="R40" s="16"/>
      <c r="S40" s="17" t="n">
        <f aca="false">IFERROR(K40*450+L40*-1100,0)</f>
        <v>0</v>
      </c>
    </row>
    <row r="41" customFormat="false" ht="15" hidden="false" customHeight="false" outlineLevel="0" collapsed="false">
      <c r="A41" s="9" t="s">
        <v>60</v>
      </c>
      <c r="B41" s="10" t="s">
        <v>18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 t="n">
        <f aca="false">IFERROR(C41*450+D41*-1100,0)+IFERROR(K41*450+L41*-1100,0)</f>
        <v>0</v>
      </c>
    </row>
    <row r="42" customFormat="false" ht="15" hidden="false" customHeight="false" outlineLevel="0" collapsed="false">
      <c r="A42" s="9" t="s">
        <v>61</v>
      </c>
      <c r="B42" s="10" t="s">
        <v>20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 t="n">
        <f aca="false">IFERROR(C42*450+D42*-1100,0)+IFERROR(K42*450+L42*-1100,0)</f>
        <v>0</v>
      </c>
    </row>
    <row r="43" customFormat="false" ht="15" hidden="false" customHeight="false" outlineLevel="0" collapsed="false">
      <c r="A43" s="9" t="s">
        <v>62</v>
      </c>
      <c r="B43" s="10" t="s">
        <v>22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 t="n">
        <f aca="false">IFERROR(C43*450+D43*-1100,0)+IFERROR(K43*450+L43*-1100,0)</f>
        <v>0</v>
      </c>
    </row>
    <row r="44" customFormat="false" ht="15" hidden="false" customHeight="false" outlineLevel="0" collapsed="false">
      <c r="A44" s="9" t="s">
        <v>63</v>
      </c>
      <c r="B44" s="10" t="s">
        <v>24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 t="n">
        <f aca="false">IFERROR(C44*450+D44*-1100,0)+IFERROR(K44*450+L44*-1100,0)</f>
        <v>0</v>
      </c>
    </row>
    <row r="45" customFormat="false" ht="15" hidden="false" customHeight="false" outlineLevel="0" collapsed="false">
      <c r="A45" s="9" t="s">
        <v>64</v>
      </c>
      <c r="B45" s="10" t="s">
        <v>26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 t="n">
        <f aca="false">IFERROR(C45*450+D45*-1100,0)+IFERROR(K45*450+L45*-1100,0)</f>
        <v>0</v>
      </c>
    </row>
    <row r="46" customFormat="false" ht="15" hidden="false" customHeight="false" outlineLevel="0" collapsed="false">
      <c r="A46" s="13" t="s">
        <v>65</v>
      </c>
      <c r="B46" s="14" t="s">
        <v>28</v>
      </c>
      <c r="C46" s="15"/>
      <c r="D46" s="15"/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6"/>
      <c r="P46" s="16"/>
      <c r="Q46" s="16"/>
      <c r="R46" s="16"/>
      <c r="S46" s="17" t="n">
        <f aca="false">IFERROR(K46*450+L46*-1100,0)</f>
        <v>0</v>
      </c>
    </row>
    <row r="47" customFormat="false" ht="15" hidden="false" customHeight="false" outlineLevel="0" collapsed="false">
      <c r="A47" s="9" t="s">
        <v>66</v>
      </c>
      <c r="B47" s="10" t="s">
        <v>18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 t="n">
        <f aca="false">IFERROR(C47*450+D47*-1100,0)+IFERROR(K47*450+L47*-1100,0)</f>
        <v>0</v>
      </c>
    </row>
    <row r="48" customFormat="false" ht="15" hidden="false" customHeight="false" outlineLevel="0" collapsed="false">
      <c r="A48" s="9" t="s">
        <v>67</v>
      </c>
      <c r="B48" s="10" t="s">
        <v>20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 t="n">
        <f aca="false">IFERROR(C48*450+D48*-1100,0)+IFERROR(K48*450+L48*-1100,0)</f>
        <v>0</v>
      </c>
    </row>
    <row r="49" customFormat="false" ht="15" hidden="false" customHeight="false" outlineLevel="0" collapsed="false">
      <c r="A49" s="9" t="s">
        <v>68</v>
      </c>
      <c r="B49" s="10" t="s">
        <v>22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 t="n">
        <f aca="false">IFERROR(C49*450+D49*-1100,0)+IFERROR(K49*450+L49*-1100,0)</f>
        <v>0</v>
      </c>
    </row>
    <row r="50" customFormat="false" ht="15" hidden="false" customHeight="false" outlineLevel="0" collapsed="false">
      <c r="A50" s="18" t="s">
        <v>69</v>
      </c>
      <c r="B50" s="19"/>
      <c r="C50" s="20" t="n">
        <f aca="false">SUM(C32:C49)</f>
        <v>0</v>
      </c>
      <c r="D50" s="20" t="n">
        <f aca="false">SUM(D32:D49)</f>
        <v>0</v>
      </c>
      <c r="E50" s="20" t="n">
        <f aca="false">SUM(E32:E49)</f>
        <v>0</v>
      </c>
      <c r="F50" s="20" t="n">
        <f aca="false">SUM(F32:F49)</f>
        <v>0</v>
      </c>
      <c r="G50" s="20" t="n">
        <f aca="false">SUM(G32:G49)</f>
        <v>0</v>
      </c>
      <c r="H50" s="20" t="n">
        <f aca="false">SUM(H32:H49)</f>
        <v>0</v>
      </c>
      <c r="I50" s="20" t="n">
        <f aca="false">SUM(I32:I49)</f>
        <v>0</v>
      </c>
      <c r="J50" s="19"/>
      <c r="K50" s="20" t="n">
        <f aca="false">SUM(K32:K49)</f>
        <v>0</v>
      </c>
      <c r="L50" s="20" t="n">
        <f aca="false">SUM(L32:L49)</f>
        <v>0</v>
      </c>
      <c r="M50" s="20" t="n">
        <f aca="false">SUM(M32:M49)</f>
        <v>0</v>
      </c>
      <c r="N50" s="20" t="n">
        <f aca="false">SUM(N32:N49)</f>
        <v>0</v>
      </c>
      <c r="O50" s="20" t="n">
        <f aca="false">SUM(O32:O49)</f>
        <v>0</v>
      </c>
      <c r="P50" s="20" t="n">
        <f aca="false">SUM(P32:P49)</f>
        <v>0</v>
      </c>
      <c r="Q50" s="20" t="n">
        <f aca="false">SUM(Q32:Q49)</f>
        <v>0</v>
      </c>
      <c r="R50" s="19"/>
      <c r="S50" s="21" t="n">
        <f aca="false">SUM(S32:S49)</f>
        <v>0</v>
      </c>
      <c r="T50" s="22" t="n">
        <f aca="false">IFERROR((C50+K50)/(C50+D50+K50+L50),0)</f>
        <v>0</v>
      </c>
    </row>
    <row r="51" customFormat="false" ht="15" hidden="false" customHeight="false" outlineLevel="0" collapsed="false">
      <c r="A51" s="18" t="s">
        <v>70</v>
      </c>
      <c r="B51" s="19"/>
      <c r="C51" s="20"/>
      <c r="D51" s="20"/>
      <c r="E51" s="20"/>
      <c r="F51" s="20"/>
      <c r="G51" s="20"/>
      <c r="H51" s="20"/>
      <c r="I51" s="20"/>
      <c r="J51" s="19"/>
      <c r="K51" s="20"/>
      <c r="L51" s="20"/>
      <c r="M51" s="20"/>
      <c r="N51" s="20"/>
      <c r="O51" s="20"/>
      <c r="P51" s="20"/>
      <c r="Q51" s="20"/>
      <c r="R51" s="19"/>
      <c r="S51" s="21" t="n">
        <f aca="false">S31+S50</f>
        <v>0</v>
      </c>
      <c r="T51" s="23" t="n">
        <f aca="false">IFERROR((C31+K31+C50+K50)/(C31+D31+K31+L31+C50+D50+K50+L50),0)</f>
        <v>0</v>
      </c>
    </row>
  </sheetData>
  <mergeCells count="6">
    <mergeCell ref="A1:S1"/>
    <mergeCell ref="A2:B2"/>
    <mergeCell ref="C2:J2"/>
    <mergeCell ref="K2:R2"/>
    <mergeCell ref="S2:S3"/>
    <mergeCell ref="A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2026-07-25T21:27:27Z</dcterms:created>
  <dc:creator>openpyxl</dc:creator>
  <dc:description/>
  <dc:language>en-US</dc:language>
  <cp:lastModifiedBy/>
  <dcterms:modified xsi:type="dcterms:W3CDTF">2026-07-25T21:27:27Z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