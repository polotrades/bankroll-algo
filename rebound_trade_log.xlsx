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Log" sheetId="1" state="visible" r:id="rId3"/>
    <sheet name="St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<sst xmlns="http://schemas.openxmlformats.org/spreadsheetml/2006/main" count="660" uniqueCount="210">
  <si>
    <t xml:space="preserve">THE REBOUND  —  NY + ASIA DAILY TRADE LOG  (Jan–Jul 2026)</t>
  </si>
  <si>
    <t xml:space="preserve">DATE / DAY</t>
  </si>
  <si>
    <t xml:space="preserve">NY SESSION  (6:30 AM PT — weekdays only)</t>
  </si>
  <si>
    <t xml:space="preserve">ASIA SESSION  (3:00 PM PT — incl. Sundays)</t>
  </si>
  <si>
    <t xml:space="preserve">DAILY P&amp;L</t>
  </si>
  <si>
    <t xml:space="preserve">DATE</t>
  </si>
  <si>
    <t xml:space="preserve">DAY</t>
  </si>
  <si>
    <t xml:space="preserve">W</t>
  </si>
  <si>
    <t xml:space="preserve">L</t>
  </si>
  <si>
    <t xml:space="preserve">L✓</t>
  </si>
  <si>
    <t xml:space="preserve">L✗</t>
  </si>
  <si>
    <t xml:space="preserve">S✓</t>
  </si>
  <si>
    <t xml:space="preserve">S✗</t>
  </si>
  <si>
    <t xml:space="preserve">SKIP</t>
  </si>
  <si>
    <t xml:space="preserve">E/L</t>
  </si>
  <si>
    <t xml:space="preserve">W=Wins  L=Losses  L✓=Longs Won  L✗=Longs Lost  S✓=Shorts Won  S✗=Shorts Lost  SKIP=# skips  E/L = E(early &lt;30min) or L(late &gt;30min)   ★ SUNDAY = Asia only</t>
  </si>
  <si>
    <t xml:space="preserve">Jan 6</t>
  </si>
  <si>
    <t xml:space="preserve">Tue</t>
  </si>
  <si>
    <t xml:space="preserve">Jan 7</t>
  </si>
  <si>
    <t xml:space="preserve">Wed</t>
  </si>
  <si>
    <t xml:space="preserve">Jan 8</t>
  </si>
  <si>
    <t xml:space="preserve">Thu</t>
  </si>
  <si>
    <t xml:space="preserve">Jan 9</t>
  </si>
  <si>
    <t xml:space="preserve">Fri</t>
  </si>
  <si>
    <t xml:space="preserve">Jan 11</t>
  </si>
  <si>
    <t xml:space="preserve">SUN ★</t>
  </si>
  <si>
    <t xml:space="preserve">—</t>
  </si>
  <si>
    <t xml:space="preserve">Jan 12</t>
  </si>
  <si>
    <t xml:space="preserve">Mon</t>
  </si>
  <si>
    <t xml:space="preserve">Jan 13</t>
  </si>
  <si>
    <t xml:space="preserve">Jan 14</t>
  </si>
  <si>
    <t xml:space="preserve">Jan 15</t>
  </si>
  <si>
    <t xml:space="preserve">Jan 16</t>
  </si>
  <si>
    <t xml:space="preserve">Jan 18</t>
  </si>
  <si>
    <t xml:space="preserve">Jan 20</t>
  </si>
  <si>
    <t xml:space="preserve">Jan 21</t>
  </si>
  <si>
    <t xml:space="preserve">E</t>
  </si>
  <si>
    <t xml:space="preserve">Jan 22</t>
  </si>
  <si>
    <t xml:space="preserve">Jan 23</t>
  </si>
  <si>
    <t xml:space="preserve">Jan 25</t>
  </si>
  <si>
    <t xml:space="preserve">Jan 26</t>
  </si>
  <si>
    <t xml:space="preserve">Jan 27</t>
  </si>
  <si>
    <t xml:space="preserve">Jan 28</t>
  </si>
  <si>
    <t xml:space="preserve">Jan 29</t>
  </si>
  <si>
    <t xml:space="preserve">Jan 30</t>
  </si>
  <si>
    <t xml:space="preserve">  ★  JANUARY  TOTAL</t>
  </si>
  <si>
    <t xml:space="preserve">Feb 1</t>
  </si>
  <si>
    <t xml:space="preserve">Feb 2</t>
  </si>
  <si>
    <t xml:space="preserve">Feb 3</t>
  </si>
  <si>
    <t xml:space="preserve">Feb 4</t>
  </si>
  <si>
    <t xml:space="preserve">Feb 5</t>
  </si>
  <si>
    <t xml:space="preserve">Feb 6</t>
  </si>
  <si>
    <t xml:space="preserve">Feb 8</t>
  </si>
  <si>
    <t xml:space="preserve">Feb 9</t>
  </si>
  <si>
    <t xml:space="preserve">Feb 10</t>
  </si>
  <si>
    <t xml:space="preserve">Feb 11</t>
  </si>
  <si>
    <t xml:space="preserve">Feb 12</t>
  </si>
  <si>
    <t xml:space="preserve">Feb 13</t>
  </si>
  <si>
    <t xml:space="preserve">Feb 15</t>
  </si>
  <si>
    <t xml:space="preserve">Feb 17</t>
  </si>
  <si>
    <t xml:space="preserve">Feb 18</t>
  </si>
  <si>
    <t xml:space="preserve">Feb 19</t>
  </si>
  <si>
    <t xml:space="preserve">Feb 20</t>
  </si>
  <si>
    <t xml:space="preserve">Feb 22</t>
  </si>
  <si>
    <t xml:space="preserve">Feb 23</t>
  </si>
  <si>
    <t xml:space="preserve">Feb 24</t>
  </si>
  <si>
    <t xml:space="preserve">Feb 25</t>
  </si>
  <si>
    <t xml:space="preserve">Feb 26</t>
  </si>
  <si>
    <t xml:space="preserve">Feb 27</t>
  </si>
  <si>
    <t xml:space="preserve">  ★  FEBRUARY  TOTAL</t>
  </si>
  <si>
    <t xml:space="preserve">Mar 1</t>
  </si>
  <si>
    <t xml:space="preserve">Mar 2</t>
  </si>
  <si>
    <t xml:space="preserve">Mar 3</t>
  </si>
  <si>
    <t xml:space="preserve">Mar 4</t>
  </si>
  <si>
    <t xml:space="preserve">Mar 5</t>
  </si>
  <si>
    <t xml:space="preserve">Mar 6</t>
  </si>
  <si>
    <t xml:space="preserve">Mar 8</t>
  </si>
  <si>
    <t xml:space="preserve">Mar 9</t>
  </si>
  <si>
    <t xml:space="preserve">Mar 10</t>
  </si>
  <si>
    <t xml:space="preserve">Mar 11</t>
  </si>
  <si>
    <t xml:space="preserve">Mar 12</t>
  </si>
  <si>
    <t xml:space="preserve">Mar 13</t>
  </si>
  <si>
    <t xml:space="preserve">Mar 15</t>
  </si>
  <si>
    <t xml:space="preserve">Mar 16</t>
  </si>
  <si>
    <t xml:space="preserve">Mar 17</t>
  </si>
  <si>
    <t xml:space="preserve">Mar 18</t>
  </si>
  <si>
    <t xml:space="preserve">Mar 19</t>
  </si>
  <si>
    <t xml:space="preserve">Mar 20</t>
  </si>
  <si>
    <t xml:space="preserve">Mar 22</t>
  </si>
  <si>
    <t xml:space="preserve">Mar 23</t>
  </si>
  <si>
    <t xml:space="preserve">Mar 24</t>
  </si>
  <si>
    <t xml:space="preserve">Mar 25</t>
  </si>
  <si>
    <t xml:space="preserve">Mar 26</t>
  </si>
  <si>
    <t xml:space="preserve">Mar 27</t>
  </si>
  <si>
    <t xml:space="preserve">Mar 29</t>
  </si>
  <si>
    <t xml:space="preserve">Mar 30</t>
  </si>
  <si>
    <t xml:space="preserve">Mar 31</t>
  </si>
  <si>
    <t xml:space="preserve">  ★  MARCH  TOTAL</t>
  </si>
  <si>
    <t xml:space="preserve">Apr 1</t>
  </si>
  <si>
    <t xml:space="preserve">Apr 2</t>
  </si>
  <si>
    <t xml:space="preserve">Apr 5</t>
  </si>
  <si>
    <t xml:space="preserve">Apr 6</t>
  </si>
  <si>
    <t xml:space="preserve">Apr 7</t>
  </si>
  <si>
    <t xml:space="preserve">Apr 8</t>
  </si>
  <si>
    <t xml:space="preserve">Apr 9</t>
  </si>
  <si>
    <t xml:space="preserve">Apr 10</t>
  </si>
  <si>
    <t xml:space="preserve">Apr 12</t>
  </si>
  <si>
    <t xml:space="preserve">Apr 13</t>
  </si>
  <si>
    <t xml:space="preserve">Apr 14</t>
  </si>
  <si>
    <t xml:space="preserve">Apr 15</t>
  </si>
  <si>
    <t xml:space="preserve">Apr 16</t>
  </si>
  <si>
    <t xml:space="preserve">Apr 17</t>
  </si>
  <si>
    <t xml:space="preserve">Apr 19</t>
  </si>
  <si>
    <t xml:space="preserve">Apr 20</t>
  </si>
  <si>
    <t xml:space="preserve">Apr 21</t>
  </si>
  <si>
    <t xml:space="preserve">Apr 22</t>
  </si>
  <si>
    <t xml:space="preserve">Apr 23</t>
  </si>
  <si>
    <t xml:space="preserve">Apr 24</t>
  </si>
  <si>
    <t xml:space="preserve">Apr 26</t>
  </si>
  <si>
    <t xml:space="preserve">Apr 27</t>
  </si>
  <si>
    <t xml:space="preserve">Apr 28</t>
  </si>
  <si>
    <t xml:space="preserve">Apr 29</t>
  </si>
  <si>
    <t xml:space="preserve">Apr 30</t>
  </si>
  <si>
    <t xml:space="preserve">  ★  APRIL  TOTAL</t>
  </si>
  <si>
    <t xml:space="preserve">May 1</t>
  </si>
  <si>
    <t xml:space="preserve">May 3</t>
  </si>
  <si>
    <t xml:space="preserve">May 4</t>
  </si>
  <si>
    <t xml:space="preserve">May 5</t>
  </si>
  <si>
    <t xml:space="preserve">May 6</t>
  </si>
  <si>
    <t xml:space="preserve">May 7</t>
  </si>
  <si>
    <t xml:space="preserve">May 8</t>
  </si>
  <si>
    <t xml:space="preserve">May 10</t>
  </si>
  <si>
    <t xml:space="preserve">May 11</t>
  </si>
  <si>
    <t xml:space="preserve">May 12</t>
  </si>
  <si>
    <t xml:space="preserve">May 13</t>
  </si>
  <si>
    <t xml:space="preserve">May 14</t>
  </si>
  <si>
    <t xml:space="preserve">May 15</t>
  </si>
  <si>
    <t xml:space="preserve">May 17</t>
  </si>
  <si>
    <t xml:space="preserve">May 18</t>
  </si>
  <si>
    <t xml:space="preserve">May 19</t>
  </si>
  <si>
    <t xml:space="preserve">May 20</t>
  </si>
  <si>
    <t xml:space="preserve">May 21</t>
  </si>
  <si>
    <t xml:space="preserve">May 22</t>
  </si>
  <si>
    <t xml:space="preserve">May 24</t>
  </si>
  <si>
    <t xml:space="preserve">May 26</t>
  </si>
  <si>
    <t xml:space="preserve">May 27</t>
  </si>
  <si>
    <t xml:space="preserve">May 28</t>
  </si>
  <si>
    <t xml:space="preserve">May 29</t>
  </si>
  <si>
    <t xml:space="preserve">May 31</t>
  </si>
  <si>
    <t xml:space="preserve">  ★  MAY  TOTAL</t>
  </si>
  <si>
    <t xml:space="preserve">Jun 1</t>
  </si>
  <si>
    <t xml:space="preserve">Jun 2</t>
  </si>
  <si>
    <t xml:space="preserve">Jun 3</t>
  </si>
  <si>
    <t xml:space="preserve">Jun 4</t>
  </si>
  <si>
    <t xml:space="preserve">Jun 5</t>
  </si>
  <si>
    <t xml:space="preserve">Jun 7</t>
  </si>
  <si>
    <t xml:space="preserve">Jun 8</t>
  </si>
  <si>
    <t xml:space="preserve">Jun 9</t>
  </si>
  <si>
    <t xml:space="preserve">Jun 10</t>
  </si>
  <si>
    <t xml:space="preserve">Jun 11</t>
  </si>
  <si>
    <t xml:space="preserve">Jun 12</t>
  </si>
  <si>
    <t xml:space="preserve">Jun 14</t>
  </si>
  <si>
    <t xml:space="preserve">Jun 15</t>
  </si>
  <si>
    <t xml:space="preserve">Jun 16</t>
  </si>
  <si>
    <t xml:space="preserve">Jun 17</t>
  </si>
  <si>
    <t xml:space="preserve">Jun 18</t>
  </si>
  <si>
    <t xml:space="preserve">Jun 19</t>
  </si>
  <si>
    <t xml:space="preserve">Jun 21</t>
  </si>
  <si>
    <t xml:space="preserve">Jun 22</t>
  </si>
  <si>
    <t xml:space="preserve">Jun 23</t>
  </si>
  <si>
    <t xml:space="preserve">Jun 24</t>
  </si>
  <si>
    <t xml:space="preserve">Jun 25</t>
  </si>
  <si>
    <t xml:space="preserve">Jun 26</t>
  </si>
  <si>
    <t xml:space="preserve">Jun 28</t>
  </si>
  <si>
    <t xml:space="preserve">Jun 29</t>
  </si>
  <si>
    <t xml:space="preserve">Jun 30</t>
  </si>
  <si>
    <t xml:space="preserve">  ★  JUNE  TOTAL</t>
  </si>
  <si>
    <t xml:space="preserve">Jul 1</t>
  </si>
  <si>
    <t xml:space="preserve">Jul 2</t>
  </si>
  <si>
    <t xml:space="preserve">Jul 5</t>
  </si>
  <si>
    <t xml:space="preserve">Jul 6</t>
  </si>
  <si>
    <t xml:space="preserve">Jul 7</t>
  </si>
  <si>
    <t xml:space="preserve">Jul 8</t>
  </si>
  <si>
    <t xml:space="preserve">Jul 9</t>
  </si>
  <si>
    <t xml:space="preserve">Jul 10</t>
  </si>
  <si>
    <t xml:space="preserve">  ★  JULY  TOTAL</t>
  </si>
  <si>
    <t xml:space="preserve">TOTALS</t>
  </si>
  <si>
    <t xml:space="preserve">BACKTEST STATS  —  NY + ASIA COMBINED</t>
  </si>
  <si>
    <t xml:space="preserve">METRIC</t>
  </si>
  <si>
    <t xml:space="preserve">NY</t>
  </si>
  <si>
    <t xml:space="preserve">ASIA</t>
  </si>
  <si>
    <t xml:space="preserve">COMBINED</t>
  </si>
  <si>
    <t xml:space="preserve">OVERALL</t>
  </si>
  <si>
    <t xml:space="preserve">Total Trades</t>
  </si>
  <si>
    <t xml:space="preserve">Wins</t>
  </si>
  <si>
    <t xml:space="preserve">Losses</t>
  </si>
  <si>
    <t xml:space="preserve">Win Rate</t>
  </si>
  <si>
    <t xml:space="preserve">Net P&amp;L</t>
  </si>
  <si>
    <t xml:space="preserve">Profit Factor</t>
  </si>
  <si>
    <t xml:space="preserve">Expectancy/Trade</t>
  </si>
  <si>
    <t xml:space="preserve">LONGS</t>
  </si>
  <si>
    <t xml:space="preserve">Longs Won</t>
  </si>
  <si>
    <t xml:space="preserve">Longs Lost</t>
  </si>
  <si>
    <t xml:space="preserve">Long Win Rate</t>
  </si>
  <si>
    <t xml:space="preserve">SHORTS</t>
  </si>
  <si>
    <t xml:space="preserve">Shorts Won</t>
  </si>
  <si>
    <t xml:space="preserve">Shorts Lost</t>
  </si>
  <si>
    <t xml:space="preserve">Short Win Rate</t>
  </si>
  <si>
    <t xml:space="preserve">SKIPS</t>
  </si>
  <si>
    <t xml:space="preserve">Total Skips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</si>
</sst>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-$&quot;#,##0"/>
    <numFmt numFmtId="166" formatCode="\$#,##0;&quot;-$&quot;#,##0;\-"/>
    <numFmt numFmtId="167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9"/>
      <color rgb="FF1D9E75"/>
      <name val="Arial"/>
      <family val="0"/>
      <charset val="1"/>
    </font>
    <font>
      <b val="true"/>
      <sz val="9"/>
      <color rgb="FFE6A02D"/>
      <name val="Arial"/>
      <family val="0"/>
      <charset val="1"/>
    </font>
    <font>
      <b val="true"/>
      <sz val="7"/>
      <color rgb="FF666666"/>
      <name val="Arial"/>
      <family val="0"/>
      <charset val="1"/>
    </font>
    <font>
      <sz val="7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6A02D"/>
      <name val="Arial"/>
      <family val="0"/>
      <charset val="1"/>
    </font>
    <font>
      <sz val="10"/>
      <color rgb="FF2A2A2A"/>
      <name val="Arial"/>
      <family val="0"/>
      <charset val="1"/>
    </font>
    <font>
      <b val="true"/>
      <sz val="10"/>
      <color rgb="FF7B74D6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E6A02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E6A02D"/>
      <name val="Arial"/>
      <family val="0"/>
      <charset val="1"/>
    </font>
    <font>
      <b val="true"/>
      <sz val="9"/>
      <color rgb="FF666666"/>
      <name val="Arial"/>
      <family val="0"/>
      <charset val="1"/>
    </font>
    <font>
      <sz val="10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534AB7"/>
        <bgColor rgb="FF666666"/>
      </patternFill>
    </fill>
    <fill>
      <patternFill patternType="solid">
        <fgColor rgb="FF0E0E0E"/>
        <bgColor rgb="FF0F0F0F"/>
      </patternFill>
    </fill>
    <fill>
      <patternFill patternType="solid">
        <fgColor rgb="FF141414"/>
        <bgColor rgb="FF181220"/>
      </patternFill>
    </fill>
    <fill>
      <patternFill patternType="solid">
        <fgColor rgb="FF181220"/>
        <bgColor rgb="FF141414"/>
      </patternFill>
    </fill>
    <fill>
      <patternFill patternType="solid">
        <fgColor rgb="FF0F0F0F"/>
        <bgColor rgb="FF0E0E0E"/>
      </patternFill>
    </fill>
    <fill>
      <patternFill patternType="solid">
        <fgColor rgb="FF1C1057"/>
        <bgColor rgb="FF181220"/>
      </patternFill>
    </fill>
    <fill>
      <patternFill patternType="solid">
        <fgColor rgb="FF1C1C1C"/>
        <bgColor rgb="FF14141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52525"/>
      </left>
      <right/>
      <top style="thin">
        <color rgb="FF252525"/>
      </top>
      <bottom style="thin">
        <color rgb="FF252525"/>
      </bottom>
      <diagonal/>
    </border>
    <border diagonalUp="false" diagonalDown="false">
      <left style="thin">
        <color rgb="FF252525"/>
      </left>
      <right style="thin">
        <color rgb="FF252525"/>
      </right>
      <top style="thin">
        <color rgb="FF252525"/>
      </top>
      <bottom style="thin">
        <color rgb="FF252525"/>
      </bottom>
      <diagonal/>
    </border>
    <border diagonalUp="false" diagonalDown="false">
      <left/>
      <right/>
      <top style="thin">
        <color rgb="FF252525"/>
      </top>
      <bottom style="thin">
        <color rgb="FF2525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F0F0F"/>
      <rgbColor rgb="FF008000"/>
      <rgbColor rgb="FF1C1057"/>
      <rgbColor rgb="FF808000"/>
      <rgbColor rgb="FF800080"/>
      <rgbColor rgb="FF008080"/>
      <rgbColor rgb="FFC0C0C0"/>
      <rgbColor rgb="FF7B74D6"/>
      <rgbColor rgb="FF9999FF"/>
      <rgbColor rgb="FF993366"/>
      <rgbColor rgb="FFFFFFCC"/>
      <rgbColor rgb="FFCCFFFF"/>
      <rgbColor rgb="FF141414"/>
      <rgbColor rgb="FFFF8080"/>
      <rgbColor rgb="FF0066CC"/>
      <rgbColor rgb="FFCCCCFF"/>
      <rgbColor rgb="FF0E0E0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02D"/>
      <rgbColor rgb="FFFF6600"/>
      <rgbColor rgb="FF666666"/>
      <rgbColor rgb="FF969696"/>
      <rgbColor rgb="FF181220"/>
      <rgbColor rgb="FF1D9E75"/>
      <rgbColor rgb="FF1C1C1C"/>
      <rgbColor rgb="FF252525"/>
      <rgbColor rgb="FF993300"/>
      <rgbColor rgb="FF993366"/>
      <rgbColor rgb="FF534AB7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4AB7"/>
    <pageSetUpPr fitToPage="false"/>
  </sheetPr>
  <dimension ref="A1:S1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9" min="3" style="1" width="5"/>
    <col collapsed="false" customWidth="true" hidden="false" outlineLevel="0" max="10" min="10" style="1" width="8"/>
    <col collapsed="false" customWidth="true" hidden="false" outlineLevel="0" max="17" min="11" style="1" width="5"/>
    <col collapsed="false" customWidth="true" hidden="false" outlineLevel="0" max="18" min="18" style="1" width="8"/>
    <col collapsed="false" customWidth="true" hidden="false" outlineLevel="0" max="19" min="19" style="1" width="11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8" hidden="false" customHeight="true" outlineLevel="0" collapsed="false">
      <c r="A2" s="3" t="s">
        <v>1</v>
      </c>
      <c r="B2" s="3"/>
      <c r="C2" s="4" t="s">
        <v>2</v>
      </c>
      <c r="D2" s="4"/>
      <c r="E2" s="4"/>
      <c r="F2" s="4"/>
      <c r="G2" s="4"/>
      <c r="H2" s="4"/>
      <c r="I2" s="4"/>
      <c r="J2" s="4"/>
      <c r="K2" s="5" t="s">
        <v>3</v>
      </c>
      <c r="L2" s="5"/>
      <c r="M2" s="5"/>
      <c r="N2" s="5"/>
      <c r="O2" s="5"/>
      <c r="P2" s="5"/>
      <c r="Q2" s="5"/>
      <c r="R2" s="5"/>
      <c r="S2" s="6" t="s">
        <v>4</v>
      </c>
    </row>
    <row r="3" customFormat="false" ht="21.75" hidden="false" customHeight="true" outlineLevel="0" collapsed="false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7</v>
      </c>
      <c r="L3" s="7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6"/>
    </row>
    <row r="4" customFormat="false" ht="15.75" hidden="false" customHeight="true" outlineLevel="0" collapsed="false">
      <c r="A4" s="8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19.5" hidden="false" customHeight="true" outlineLevel="0" collapsed="false">
      <c r="A5" s="9" t="s">
        <v>16</v>
      </c>
      <c r="B5" s="10" t="s">
        <v>17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 t="n">
        <f aca="false">IFERROR(C5*460+D5*-560,0)+IFERROR(K5*460+L5*-560,0)</f>
        <v>0</v>
      </c>
    </row>
    <row r="6" customFormat="false" ht="19.5" hidden="false" customHeight="true" outlineLevel="0" collapsed="false">
      <c r="A6" s="9" t="s">
        <v>18</v>
      </c>
      <c r="B6" s="10" t="s">
        <v>19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 t="n">
        <f aca="false">IFERROR(C6*460+D6*-560,0)+IFERROR(K6*460+L6*-560,0)</f>
        <v>0</v>
      </c>
    </row>
    <row r="7" customFormat="false" ht="19.5" hidden="false" customHeight="true" outlineLevel="0" collapsed="false">
      <c r="A7" s="9" t="s">
        <v>20</v>
      </c>
      <c r="B7" s="10" t="s">
        <v>21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2" t="n">
        <f aca="false">IFERROR(C7*460+D7*-560,0)+IFERROR(K7*460+L7*-560,0)</f>
        <v>0</v>
      </c>
    </row>
    <row r="8" customFormat="false" ht="19.5" hidden="false" customHeight="true" outlineLevel="0" collapsed="false">
      <c r="A8" s="9" t="s">
        <v>22</v>
      </c>
      <c r="B8" s="10" t="s">
        <v>23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2" t="n">
        <f aca="false">IFERROR(C8*460+D8*-560,0)+IFERROR(K8*460+L8*-560,0)</f>
        <v>0</v>
      </c>
    </row>
    <row r="9" customFormat="false" ht="19.5" hidden="false" customHeight="true" outlineLevel="0" collapsed="false">
      <c r="A9" s="13" t="s">
        <v>24</v>
      </c>
      <c r="B9" s="14" t="s">
        <v>25</v>
      </c>
      <c r="C9" s="15" t="s">
        <v>26</v>
      </c>
      <c r="D9" s="15" t="s">
        <v>26</v>
      </c>
      <c r="E9" s="15" t="s">
        <v>26</v>
      </c>
      <c r="F9" s="15" t="s">
        <v>26</v>
      </c>
      <c r="G9" s="15" t="s">
        <v>26</v>
      </c>
      <c r="H9" s="15" t="s">
        <v>26</v>
      </c>
      <c r="I9" s="15" t="s">
        <v>26</v>
      </c>
      <c r="J9" s="15" t="s">
        <v>26</v>
      </c>
      <c r="K9" s="16" t="n">
        <v>1</v>
      </c>
      <c r="L9" s="16" t="n">
        <v>1</v>
      </c>
      <c r="M9" s="16"/>
      <c r="N9" s="16" t="n">
        <v>1</v>
      </c>
      <c r="O9" s="16" t="n">
        <v>1</v>
      </c>
      <c r="P9" s="16"/>
      <c r="Q9" s="16" t="n">
        <v>1</v>
      </c>
      <c r="R9" s="16" t="s">
        <v>8</v>
      </c>
      <c r="S9" s="17" t="n">
        <f aca="false">IFERROR(K9*460+L9*-560,0)</f>
        <v>-100</v>
      </c>
    </row>
    <row r="10" customFormat="false" ht="19.5" hidden="false" customHeight="true" outlineLevel="0" collapsed="false">
      <c r="A10" s="9" t="s">
        <v>27</v>
      </c>
      <c r="B10" s="10" t="s">
        <v>28</v>
      </c>
      <c r="C10" s="11" t="n">
        <v>1</v>
      </c>
      <c r="D10" s="11"/>
      <c r="E10" s="11" t="n">
        <v>1</v>
      </c>
      <c r="F10" s="11"/>
      <c r="G10" s="11"/>
      <c r="H10" s="11"/>
      <c r="I10" s="11"/>
      <c r="J10" s="11" t="s">
        <v>8</v>
      </c>
      <c r="K10" s="11" t="n">
        <v>1</v>
      </c>
      <c r="L10" s="11"/>
      <c r="M10" s="11"/>
      <c r="N10" s="11" t="n">
        <v>1</v>
      </c>
      <c r="O10" s="11"/>
      <c r="P10" s="11"/>
      <c r="Q10" s="11"/>
      <c r="R10" s="11" t="s">
        <v>8</v>
      </c>
      <c r="S10" s="12" t="n">
        <f aca="false">IFERROR(C10*460+D10*-560,0)+IFERROR(K10*460+L10*-560,0)</f>
        <v>920</v>
      </c>
    </row>
    <row r="11" customFormat="false" ht="19.5" hidden="false" customHeight="true" outlineLevel="0" collapsed="false">
      <c r="A11" s="9" t="s">
        <v>29</v>
      </c>
      <c r="B11" s="10" t="s">
        <v>17</v>
      </c>
      <c r="C11" s="11" t="n">
        <v>1</v>
      </c>
      <c r="D11" s="11" t="n">
        <v>1</v>
      </c>
      <c r="E11" s="11"/>
      <c r="F11" s="11"/>
      <c r="G11" s="11" t="n">
        <v>1</v>
      </c>
      <c r="H11" s="11" t="n">
        <v>1</v>
      </c>
      <c r="I11" s="11"/>
      <c r="J11" s="11" t="s">
        <v>8</v>
      </c>
      <c r="K11" s="11" t="n">
        <v>2</v>
      </c>
      <c r="L11" s="11"/>
      <c r="M11" s="11" t="n">
        <v>1</v>
      </c>
      <c r="N11" s="11"/>
      <c r="O11" s="11" t="n">
        <v>1</v>
      </c>
      <c r="P11" s="11"/>
      <c r="Q11" s="11" t="n">
        <v>1</v>
      </c>
      <c r="R11" s="11" t="s">
        <v>8</v>
      </c>
      <c r="S11" s="12" t="n">
        <f aca="false">IFERROR(C11*460+D11*-560,0)+IFERROR(K11*460+L11*-560,0)</f>
        <v>820</v>
      </c>
    </row>
    <row r="12" customFormat="false" ht="19.5" hidden="false" customHeight="true" outlineLevel="0" collapsed="false">
      <c r="A12" s="9" t="s">
        <v>30</v>
      </c>
      <c r="B12" s="10" t="s">
        <v>19</v>
      </c>
      <c r="C12" s="11" t="n">
        <v>1</v>
      </c>
      <c r="D12" s="11" t="n">
        <v>3</v>
      </c>
      <c r="E12" s="11" t="n">
        <v>1</v>
      </c>
      <c r="F12" s="11" t="n">
        <v>1</v>
      </c>
      <c r="G12" s="11"/>
      <c r="H12" s="11" t="n">
        <v>2</v>
      </c>
      <c r="I12" s="11"/>
      <c r="J12" s="11" t="s">
        <v>8</v>
      </c>
      <c r="K12" s="11" t="n">
        <v>2</v>
      </c>
      <c r="L12" s="11" t="n">
        <v>2</v>
      </c>
      <c r="M12" s="11" t="n">
        <v>1</v>
      </c>
      <c r="N12" s="11" t="n">
        <v>1</v>
      </c>
      <c r="O12" s="11" t="n">
        <v>1</v>
      </c>
      <c r="P12" s="11" t="n">
        <v>1</v>
      </c>
      <c r="Q12" s="11"/>
      <c r="R12" s="11" t="s">
        <v>14</v>
      </c>
      <c r="S12" s="12" t="n">
        <f aca="false">IFERROR(C12*460+D12*-560,0)+IFERROR(K12*460+L12*-560,0)</f>
        <v>-1420</v>
      </c>
    </row>
    <row r="13" customFormat="false" ht="19.5" hidden="false" customHeight="true" outlineLevel="0" collapsed="false">
      <c r="A13" s="9" t="s">
        <v>31</v>
      </c>
      <c r="B13" s="10" t="s">
        <v>21</v>
      </c>
      <c r="C13" s="11" t="n">
        <v>2</v>
      </c>
      <c r="D13" s="11" t="n">
        <v>1</v>
      </c>
      <c r="E13" s="11" t="n">
        <v>1</v>
      </c>
      <c r="F13" s="11"/>
      <c r="G13" s="11" t="n">
        <v>1</v>
      </c>
      <c r="H13" s="11" t="n">
        <v>1</v>
      </c>
      <c r="I13" s="11"/>
      <c r="J13" s="11" t="s">
        <v>14</v>
      </c>
      <c r="K13" s="11" t="n">
        <v>2</v>
      </c>
      <c r="L13" s="11"/>
      <c r="M13" s="11" t="n">
        <v>2</v>
      </c>
      <c r="N13" s="11"/>
      <c r="O13" s="11"/>
      <c r="P13" s="11"/>
      <c r="Q13" s="11"/>
      <c r="R13" s="11" t="s">
        <v>14</v>
      </c>
      <c r="S13" s="12" t="n">
        <f aca="false">IFERROR(C13*460+D13*-560,0)+IFERROR(K13*460+L13*-560,0)</f>
        <v>1280</v>
      </c>
    </row>
    <row r="14" customFormat="false" ht="19.5" hidden="false" customHeight="true" outlineLevel="0" collapsed="false">
      <c r="A14" s="9" t="s">
        <v>32</v>
      </c>
      <c r="B14" s="10" t="s">
        <v>23</v>
      </c>
      <c r="C14" s="11" t="n">
        <v>3</v>
      </c>
      <c r="D14" s="11" t="n">
        <v>1</v>
      </c>
      <c r="E14" s="11" t="n">
        <v>1</v>
      </c>
      <c r="F14" s="11" t="n">
        <v>1</v>
      </c>
      <c r="G14" s="11" t="n">
        <v>2</v>
      </c>
      <c r="H14" s="11"/>
      <c r="I14" s="11" t="n">
        <v>1</v>
      </c>
      <c r="J14" s="11" t="s">
        <v>14</v>
      </c>
      <c r="K14" s="11" t="n">
        <v>1</v>
      </c>
      <c r="L14" s="11"/>
      <c r="M14" s="11"/>
      <c r="N14" s="11"/>
      <c r="O14" s="11" t="n">
        <v>1</v>
      </c>
      <c r="P14" s="11"/>
      <c r="Q14" s="11" t="n">
        <v>1</v>
      </c>
      <c r="R14" s="11" t="s">
        <v>8</v>
      </c>
      <c r="S14" s="12" t="n">
        <f aca="false">IFERROR(C14*460+D14*-560,0)+IFERROR(K14*460+L14*-560,0)</f>
        <v>1280</v>
      </c>
    </row>
    <row r="15" customFormat="false" ht="19.5" hidden="false" customHeight="true" outlineLevel="0" collapsed="false">
      <c r="A15" s="13" t="s">
        <v>33</v>
      </c>
      <c r="B15" s="14" t="s">
        <v>25</v>
      </c>
      <c r="C15" s="15" t="s">
        <v>26</v>
      </c>
      <c r="D15" s="15" t="s">
        <v>26</v>
      </c>
      <c r="E15" s="15" t="s">
        <v>26</v>
      </c>
      <c r="F15" s="15" t="s">
        <v>26</v>
      </c>
      <c r="G15" s="15" t="s">
        <v>26</v>
      </c>
      <c r="H15" s="15" t="s">
        <v>26</v>
      </c>
      <c r="I15" s="15" t="s">
        <v>26</v>
      </c>
      <c r="J15" s="15" t="s">
        <v>26</v>
      </c>
      <c r="K15" s="16" t="n">
        <v>1</v>
      </c>
      <c r="L15" s="16"/>
      <c r="M15" s="16"/>
      <c r="N15" s="16"/>
      <c r="O15" s="16" t="n">
        <v>1</v>
      </c>
      <c r="P15" s="16"/>
      <c r="Q15" s="16" t="n">
        <v>1</v>
      </c>
      <c r="R15" s="16" t="s">
        <v>8</v>
      </c>
      <c r="S15" s="17" t="n">
        <f aca="false">IFERROR(K15*460+L15*-560,0)</f>
        <v>460</v>
      </c>
    </row>
    <row r="16" customFormat="false" ht="19.5" hidden="false" customHeight="true" outlineLevel="0" collapsed="false">
      <c r="A16" s="9" t="s">
        <v>34</v>
      </c>
      <c r="B16" s="10" t="s">
        <v>17</v>
      </c>
      <c r="C16" s="11" t="n">
        <v>1</v>
      </c>
      <c r="D16" s="11" t="n">
        <v>2</v>
      </c>
      <c r="E16" s="11" t="n">
        <v>1</v>
      </c>
      <c r="F16" s="11"/>
      <c r="G16" s="11"/>
      <c r="H16" s="11" t="n">
        <v>2</v>
      </c>
      <c r="I16" s="11" t="n">
        <v>3</v>
      </c>
      <c r="J16" s="11" t="s">
        <v>8</v>
      </c>
      <c r="K16" s="11"/>
      <c r="L16" s="11" t="n">
        <v>2</v>
      </c>
      <c r="M16" s="11"/>
      <c r="N16" s="11"/>
      <c r="O16" s="11"/>
      <c r="P16" s="11" t="n">
        <v>2</v>
      </c>
      <c r="Q16" s="11"/>
      <c r="R16" s="11" t="s">
        <v>8</v>
      </c>
      <c r="S16" s="12" t="n">
        <f aca="false">IFERROR(C16*460+D16*-560,0)+IFERROR(K16*460+L16*-560,0)</f>
        <v>-1780</v>
      </c>
    </row>
    <row r="17" customFormat="false" ht="19.5" hidden="false" customHeight="true" outlineLevel="0" collapsed="false">
      <c r="A17" s="9" t="s">
        <v>35</v>
      </c>
      <c r="B17" s="10" t="s">
        <v>19</v>
      </c>
      <c r="C17" s="11"/>
      <c r="D17" s="11" t="n">
        <v>2</v>
      </c>
      <c r="E17" s="11"/>
      <c r="F17" s="11" t="n">
        <v>2</v>
      </c>
      <c r="G17" s="11"/>
      <c r="H17" s="11" t="n">
        <v>2</v>
      </c>
      <c r="I17" s="11"/>
      <c r="J17" s="11" t="s">
        <v>8</v>
      </c>
      <c r="K17" s="11"/>
      <c r="L17" s="11" t="n">
        <v>1</v>
      </c>
      <c r="M17" s="11"/>
      <c r="N17" s="11" t="n">
        <v>1</v>
      </c>
      <c r="O17" s="11"/>
      <c r="P17" s="11"/>
      <c r="Q17" s="11"/>
      <c r="R17" s="11" t="s">
        <v>36</v>
      </c>
      <c r="S17" s="12" t="n">
        <f aca="false">IFERROR(C17*460+D17*-560,0)+IFERROR(K17*460+L17*-560,0)</f>
        <v>-1680</v>
      </c>
    </row>
    <row r="18" customFormat="false" ht="19.5" hidden="false" customHeight="true" outlineLevel="0" collapsed="false">
      <c r="A18" s="9" t="s">
        <v>37</v>
      </c>
      <c r="B18" s="10" t="s">
        <v>21</v>
      </c>
      <c r="C18" s="11" t="n">
        <v>1</v>
      </c>
      <c r="D18" s="11" t="n">
        <v>3</v>
      </c>
      <c r="E18" s="11" t="n">
        <v>1</v>
      </c>
      <c r="F18" s="11" t="n">
        <v>1</v>
      </c>
      <c r="G18" s="11"/>
      <c r="H18" s="11" t="n">
        <v>2</v>
      </c>
      <c r="I18" s="11"/>
      <c r="J18" s="11" t="s">
        <v>8</v>
      </c>
      <c r="K18" s="11" t="n">
        <v>2</v>
      </c>
      <c r="L18" s="11" t="n">
        <v>1</v>
      </c>
      <c r="M18" s="11" t="n">
        <v>2</v>
      </c>
      <c r="N18" s="11"/>
      <c r="O18" s="11"/>
      <c r="P18" s="11" t="n">
        <v>1</v>
      </c>
      <c r="Q18" s="11"/>
      <c r="R18" s="11" t="s">
        <v>14</v>
      </c>
      <c r="S18" s="12" t="n">
        <f aca="false">IFERROR(C18*460+D18*-560,0)+IFERROR(K18*460+L18*-560,0)</f>
        <v>-860</v>
      </c>
    </row>
    <row r="19" customFormat="false" ht="19.5" hidden="false" customHeight="true" outlineLevel="0" collapsed="false">
      <c r="A19" s="9" t="s">
        <v>38</v>
      </c>
      <c r="B19" s="10" t="s">
        <v>23</v>
      </c>
      <c r="C19" s="11" t="n">
        <v>2</v>
      </c>
      <c r="D19" s="11"/>
      <c r="E19" s="11" t="n">
        <v>1</v>
      </c>
      <c r="F19" s="11"/>
      <c r="G19" s="11" t="n">
        <v>1</v>
      </c>
      <c r="H19" s="11"/>
      <c r="I19" s="11" t="n">
        <v>1</v>
      </c>
      <c r="J19" s="11" t="s">
        <v>8</v>
      </c>
      <c r="K19" s="11"/>
      <c r="L19" s="11"/>
      <c r="M19" s="11"/>
      <c r="N19" s="11"/>
      <c r="O19" s="11"/>
      <c r="P19" s="11"/>
      <c r="Q19" s="11"/>
      <c r="R19" s="11"/>
      <c r="S19" s="12" t="n">
        <f aca="false">IFERROR(C19*460+D19*-560,0)+IFERROR(K19*460+L19*-560,0)</f>
        <v>920</v>
      </c>
    </row>
    <row r="20" customFormat="false" ht="19.5" hidden="false" customHeight="true" outlineLevel="0" collapsed="false">
      <c r="A20" s="13" t="s">
        <v>39</v>
      </c>
      <c r="B20" s="14" t="s">
        <v>25</v>
      </c>
      <c r="C20" s="15" t="s">
        <v>26</v>
      </c>
      <c r="D20" s="15" t="s">
        <v>26</v>
      </c>
      <c r="E20" s="15" t="s">
        <v>26</v>
      </c>
      <c r="F20" s="15" t="s">
        <v>26</v>
      </c>
      <c r="G20" s="15" t="s">
        <v>26</v>
      </c>
      <c r="H20" s="15" t="s">
        <v>26</v>
      </c>
      <c r="I20" s="15" t="s">
        <v>26</v>
      </c>
      <c r="J20" s="15" t="s">
        <v>26</v>
      </c>
      <c r="K20" s="16" t="n">
        <v>1</v>
      </c>
      <c r="L20" s="16" t="n">
        <v>2</v>
      </c>
      <c r="M20" s="16" t="n">
        <v>1</v>
      </c>
      <c r="N20" s="16" t="n">
        <v>1</v>
      </c>
      <c r="O20" s="16" t="n">
        <v>1</v>
      </c>
      <c r="P20" s="16"/>
      <c r="Q20" s="16"/>
      <c r="R20" s="16" t="s">
        <v>14</v>
      </c>
      <c r="S20" s="17" t="n">
        <f aca="false">IFERROR(K20*460+L20*-560,0)</f>
        <v>-660</v>
      </c>
    </row>
    <row r="21" customFormat="false" ht="19.5" hidden="false" customHeight="true" outlineLevel="0" collapsed="false">
      <c r="A21" s="9" t="s">
        <v>40</v>
      </c>
      <c r="B21" s="10" t="s">
        <v>28</v>
      </c>
      <c r="C21" s="11"/>
      <c r="D21" s="11" t="n">
        <v>2</v>
      </c>
      <c r="E21" s="11"/>
      <c r="F21" s="11" t="n">
        <v>2</v>
      </c>
      <c r="G21" s="11"/>
      <c r="H21" s="11"/>
      <c r="I21" s="11"/>
      <c r="J21" s="11" t="s">
        <v>8</v>
      </c>
      <c r="K21" s="11" t="n">
        <v>1</v>
      </c>
      <c r="L21" s="11"/>
      <c r="M21" s="11" t="n">
        <v>1</v>
      </c>
      <c r="N21" s="11"/>
      <c r="O21" s="11"/>
      <c r="P21" s="11"/>
      <c r="Q21" s="11"/>
      <c r="R21" s="11" t="s">
        <v>8</v>
      </c>
      <c r="S21" s="12" t="n">
        <f aca="false">IFERROR(C21*460+D21*-560,0)+IFERROR(K21*460+L21*-560,0)</f>
        <v>-660</v>
      </c>
    </row>
    <row r="22" customFormat="false" ht="19.5" hidden="false" customHeight="true" outlineLevel="0" collapsed="false">
      <c r="A22" s="9" t="s">
        <v>41</v>
      </c>
      <c r="B22" s="10" t="s">
        <v>17</v>
      </c>
      <c r="C22" s="11" t="n">
        <v>4</v>
      </c>
      <c r="D22" s="11" t="n">
        <v>1</v>
      </c>
      <c r="E22" s="11" t="n">
        <v>3</v>
      </c>
      <c r="F22" s="11" t="n">
        <v>1</v>
      </c>
      <c r="G22" s="11"/>
      <c r="H22" s="11"/>
      <c r="I22" s="11"/>
      <c r="J22" s="11" t="s">
        <v>8</v>
      </c>
      <c r="K22" s="11" t="n">
        <v>1</v>
      </c>
      <c r="L22" s="11"/>
      <c r="M22" s="11" t="n">
        <v>1</v>
      </c>
      <c r="N22" s="11"/>
      <c r="O22" s="11"/>
      <c r="P22" s="11"/>
      <c r="Q22" s="11"/>
      <c r="R22" s="11" t="s">
        <v>36</v>
      </c>
      <c r="S22" s="12" t="n">
        <f aca="false">IFERROR(C22*460+D22*-560,0)+IFERROR(K22*460+L22*-560,0)</f>
        <v>1740</v>
      </c>
    </row>
    <row r="23" customFormat="false" ht="19.5" hidden="false" customHeight="true" outlineLevel="0" collapsed="false">
      <c r="A23" s="9" t="s">
        <v>42</v>
      </c>
      <c r="B23" s="10" t="s">
        <v>19</v>
      </c>
      <c r="C23" s="11" t="n">
        <v>2</v>
      </c>
      <c r="D23" s="11" t="n">
        <v>1</v>
      </c>
      <c r="E23" s="11" t="n">
        <v>2</v>
      </c>
      <c r="F23" s="11" t="n">
        <v>1</v>
      </c>
      <c r="G23" s="11"/>
      <c r="H23" s="11"/>
      <c r="I23" s="11" t="n">
        <v>1</v>
      </c>
      <c r="J23" s="11" t="s">
        <v>14</v>
      </c>
      <c r="K23" s="11" t="n">
        <v>2</v>
      </c>
      <c r="L23" s="11"/>
      <c r="M23" s="11" t="n">
        <v>1</v>
      </c>
      <c r="N23" s="11"/>
      <c r="O23" s="11" t="n">
        <v>1</v>
      </c>
      <c r="P23" s="11"/>
      <c r="Q23" s="11"/>
      <c r="R23" s="11" t="s">
        <v>8</v>
      </c>
      <c r="S23" s="12" t="n">
        <f aca="false">IFERROR(C23*460+D23*-560,0)+IFERROR(K23*460+L23*-560,0)</f>
        <v>1280</v>
      </c>
    </row>
    <row r="24" customFormat="false" ht="19.5" hidden="false" customHeight="true" outlineLevel="0" collapsed="false">
      <c r="A24" s="9" t="s">
        <v>43</v>
      </c>
      <c r="B24" s="10" t="s">
        <v>21</v>
      </c>
      <c r="C24" s="11" t="n">
        <v>3</v>
      </c>
      <c r="D24" s="11" t="n">
        <v>1</v>
      </c>
      <c r="E24" s="11" t="n">
        <v>2</v>
      </c>
      <c r="F24" s="11" t="n">
        <v>1</v>
      </c>
      <c r="G24" s="11" t="n">
        <v>1</v>
      </c>
      <c r="H24" s="11"/>
      <c r="I24" s="11" t="n">
        <v>4</v>
      </c>
      <c r="J24" s="11" t="s">
        <v>14</v>
      </c>
      <c r="K24" s="11" t="n">
        <v>3</v>
      </c>
      <c r="L24" s="11" t="n">
        <v>1</v>
      </c>
      <c r="M24" s="11" t="n">
        <v>1</v>
      </c>
      <c r="N24" s="11" t="n">
        <v>1</v>
      </c>
      <c r="O24" s="11" t="n">
        <v>2</v>
      </c>
      <c r="P24" s="11"/>
      <c r="Q24" s="11" t="n">
        <v>1</v>
      </c>
      <c r="R24" s="11" t="s">
        <v>8</v>
      </c>
      <c r="S24" s="12" t="n">
        <f aca="false">IFERROR(C24*460+D24*-560,0)+IFERROR(K24*460+L24*-560,0)</f>
        <v>1640</v>
      </c>
    </row>
    <row r="25" customFormat="false" ht="19.5" hidden="false" customHeight="true" outlineLevel="0" collapsed="false">
      <c r="A25" s="9" t="s">
        <v>44</v>
      </c>
      <c r="B25" s="10" t="s">
        <v>23</v>
      </c>
      <c r="C25" s="11" t="n">
        <v>1</v>
      </c>
      <c r="D25" s="11"/>
      <c r="E25" s="11"/>
      <c r="F25" s="11"/>
      <c r="G25" s="11" t="n">
        <v>1</v>
      </c>
      <c r="H25" s="11"/>
      <c r="I25" s="11"/>
      <c r="J25" s="11" t="s">
        <v>36</v>
      </c>
      <c r="K25" s="11"/>
      <c r="L25" s="11"/>
      <c r="M25" s="11"/>
      <c r="N25" s="11"/>
      <c r="O25" s="11"/>
      <c r="P25" s="11"/>
      <c r="Q25" s="11"/>
      <c r="R25" s="11"/>
      <c r="S25" s="12" t="n">
        <f aca="false">IFERROR(C25*460+D25*-560,0)+IFERROR(K25*460+L25*-560,0)</f>
        <v>460</v>
      </c>
    </row>
    <row r="26" customFormat="false" ht="21.75" hidden="false" customHeight="true" outlineLevel="0" collapsed="false">
      <c r="A26" s="18" t="s">
        <v>45</v>
      </c>
      <c r="B26" s="19"/>
      <c r="C26" s="20" t="n">
        <f aca="false">SUM(C5:C25)</f>
        <v>22</v>
      </c>
      <c r="D26" s="20" t="n">
        <f aca="false">SUM(D5:D25)</f>
        <v>18</v>
      </c>
      <c r="E26" s="20" t="n">
        <f aca="false">SUM(E5:E25)</f>
        <v>14</v>
      </c>
      <c r="F26" s="20" t="n">
        <f aca="false">SUM(F5:F25)</f>
        <v>10</v>
      </c>
      <c r="G26" s="20" t="n">
        <f aca="false">SUM(G5:G25)</f>
        <v>7</v>
      </c>
      <c r="H26" s="20" t="n">
        <f aca="false">SUM(H5:H25)</f>
        <v>10</v>
      </c>
      <c r="I26" s="20" t="n">
        <f aca="false">SUM(I5:I25)</f>
        <v>10</v>
      </c>
      <c r="J26" s="19"/>
      <c r="K26" s="20" t="n">
        <f aca="false">SUM(K5:K25)</f>
        <v>20</v>
      </c>
      <c r="L26" s="20" t="n">
        <f aca="false">SUM(L5:L25)</f>
        <v>10</v>
      </c>
      <c r="M26" s="20" t="n">
        <f aca="false">SUM(M5:M25)</f>
        <v>11</v>
      </c>
      <c r="N26" s="20" t="n">
        <f aca="false">SUM(N5:N25)</f>
        <v>6</v>
      </c>
      <c r="O26" s="20" t="n">
        <f aca="false">SUM(O5:O25)</f>
        <v>9</v>
      </c>
      <c r="P26" s="20" t="n">
        <f aca="false">SUM(P5:P25)</f>
        <v>4</v>
      </c>
      <c r="Q26" s="20" t="n">
        <f aca="false">SUM(Q5:Q25)</f>
        <v>5</v>
      </c>
      <c r="R26" s="19"/>
      <c r="S26" s="21" t="n">
        <f aca="false">SUM(S5:S25)</f>
        <v>3640</v>
      </c>
    </row>
    <row r="27" customFormat="false" ht="19.5" hidden="false" customHeight="true" outlineLevel="0" collapsed="false">
      <c r="A27" s="13" t="s">
        <v>46</v>
      </c>
      <c r="B27" s="14" t="s">
        <v>25</v>
      </c>
      <c r="C27" s="15" t="s">
        <v>26</v>
      </c>
      <c r="D27" s="15" t="s">
        <v>26</v>
      </c>
      <c r="E27" s="15" t="s">
        <v>26</v>
      </c>
      <c r="F27" s="15" t="s">
        <v>26</v>
      </c>
      <c r="G27" s="15" t="s">
        <v>26</v>
      </c>
      <c r="H27" s="15" t="s">
        <v>26</v>
      </c>
      <c r="I27" s="15" t="s">
        <v>26</v>
      </c>
      <c r="J27" s="15" t="s">
        <v>26</v>
      </c>
      <c r="K27" s="16"/>
      <c r="L27" s="16" t="n">
        <v>2</v>
      </c>
      <c r="M27" s="16"/>
      <c r="N27" s="16" t="n">
        <v>1</v>
      </c>
      <c r="O27" s="16"/>
      <c r="P27" s="16" t="n">
        <v>1</v>
      </c>
      <c r="Q27" s="16" t="n">
        <v>1</v>
      </c>
      <c r="R27" s="16" t="s">
        <v>8</v>
      </c>
      <c r="S27" s="17" t="n">
        <f aca="false">IFERROR(K27*460+L27*-560,0)</f>
        <v>-1120</v>
      </c>
    </row>
    <row r="28" customFormat="false" ht="19.5" hidden="false" customHeight="true" outlineLevel="0" collapsed="false">
      <c r="A28" s="22" t="s">
        <v>47</v>
      </c>
      <c r="B28" s="23" t="s">
        <v>28</v>
      </c>
      <c r="C28" s="24" t="n">
        <v>1</v>
      </c>
      <c r="D28" s="24" t="n">
        <v>2</v>
      </c>
      <c r="E28" s="24" t="n">
        <v>1</v>
      </c>
      <c r="F28" s="24" t="n">
        <v>1</v>
      </c>
      <c r="G28" s="24"/>
      <c r="H28" s="24" t="n">
        <v>1</v>
      </c>
      <c r="I28" s="24"/>
      <c r="J28" s="24" t="s">
        <v>14</v>
      </c>
      <c r="K28" s="24" t="n">
        <v>1</v>
      </c>
      <c r="L28" s="24" t="n">
        <v>1</v>
      </c>
      <c r="M28" s="24"/>
      <c r="N28" s="24"/>
      <c r="O28" s="24" t="n">
        <v>1</v>
      </c>
      <c r="P28" s="24"/>
      <c r="Q28" s="24" t="n">
        <v>1</v>
      </c>
      <c r="R28" s="24" t="s">
        <v>8</v>
      </c>
      <c r="S28" s="25" t="n">
        <f aca="false">IFERROR(C28*460+D28*-560,0)+IFERROR(K28*460+L28*-560,0)</f>
        <v>-760</v>
      </c>
    </row>
    <row r="29" customFormat="false" ht="19.5" hidden="false" customHeight="true" outlineLevel="0" collapsed="false">
      <c r="A29" s="22" t="s">
        <v>48</v>
      </c>
      <c r="B29" s="23" t="s">
        <v>17</v>
      </c>
      <c r="C29" s="24" t="n">
        <v>1</v>
      </c>
      <c r="D29" s="24" t="n">
        <v>2</v>
      </c>
      <c r="E29" s="24"/>
      <c r="F29" s="24"/>
      <c r="G29" s="24" t="n">
        <v>1</v>
      </c>
      <c r="H29" s="24" t="n">
        <v>2</v>
      </c>
      <c r="I29" s="24"/>
      <c r="J29" s="24" t="s">
        <v>8</v>
      </c>
      <c r="K29" s="24" t="n">
        <v>1</v>
      </c>
      <c r="L29" s="24" t="n">
        <v>1</v>
      </c>
      <c r="M29" s="24"/>
      <c r="N29" s="24" t="n">
        <v>1</v>
      </c>
      <c r="O29" s="24" t="n">
        <v>1</v>
      </c>
      <c r="P29" s="24"/>
      <c r="Q29" s="24"/>
      <c r="R29" s="24" t="s">
        <v>8</v>
      </c>
      <c r="S29" s="25" t="n">
        <f aca="false">IFERROR(C29*460+D29*-560,0)+IFERROR(K29*460+L29*-560,0)</f>
        <v>-760</v>
      </c>
    </row>
    <row r="30" customFormat="false" ht="19.5" hidden="false" customHeight="true" outlineLevel="0" collapsed="false">
      <c r="A30" s="22" t="s">
        <v>49</v>
      </c>
      <c r="B30" s="23" t="s">
        <v>19</v>
      </c>
      <c r="C30" s="24"/>
      <c r="D30" s="24"/>
      <c r="E30" s="24"/>
      <c r="F30" s="24"/>
      <c r="G30" s="24"/>
      <c r="H30" s="24"/>
      <c r="I30" s="24"/>
      <c r="J30" s="24"/>
      <c r="K30" s="24" t="n">
        <v>1</v>
      </c>
      <c r="L30" s="24" t="n">
        <v>1</v>
      </c>
      <c r="M30" s="24"/>
      <c r="N30" s="24" t="n">
        <v>1</v>
      </c>
      <c r="O30" s="24" t="n">
        <v>1</v>
      </c>
      <c r="P30" s="24"/>
      <c r="Q30" s="24"/>
      <c r="R30" s="24" t="s">
        <v>8</v>
      </c>
      <c r="S30" s="25" t="n">
        <f aca="false">IFERROR(C30*460+D30*-560,0)+IFERROR(K30*460+L30*-560,0)</f>
        <v>-100</v>
      </c>
    </row>
    <row r="31" customFormat="false" ht="19.5" hidden="false" customHeight="true" outlineLevel="0" collapsed="false">
      <c r="A31" s="22" t="s">
        <v>50</v>
      </c>
      <c r="B31" s="23" t="s">
        <v>21</v>
      </c>
      <c r="C31" s="24"/>
      <c r="D31" s="24" t="n">
        <v>1</v>
      </c>
      <c r="E31" s="24"/>
      <c r="F31" s="24" t="n">
        <v>1</v>
      </c>
      <c r="G31" s="24"/>
      <c r="H31" s="24"/>
      <c r="I31" s="24" t="n">
        <v>2</v>
      </c>
      <c r="J31" s="24" t="s">
        <v>8</v>
      </c>
      <c r="K31" s="24" t="n">
        <v>1</v>
      </c>
      <c r="L31" s="24" t="n">
        <v>2</v>
      </c>
      <c r="M31" s="24" t="n">
        <v>1</v>
      </c>
      <c r="N31" s="24" t="n">
        <v>2</v>
      </c>
      <c r="O31" s="24"/>
      <c r="P31" s="24"/>
      <c r="Q31" s="24"/>
      <c r="R31" s="24" t="s">
        <v>8</v>
      </c>
      <c r="S31" s="25" t="n">
        <f aca="false">IFERROR(C31*460+D31*-560,0)+IFERROR(K31*460+L31*-560,0)</f>
        <v>-1220</v>
      </c>
    </row>
    <row r="32" customFormat="false" ht="19.5" hidden="false" customHeight="true" outlineLevel="0" collapsed="false">
      <c r="A32" s="22" t="s">
        <v>51</v>
      </c>
      <c r="B32" s="23" t="s">
        <v>23</v>
      </c>
      <c r="C32" s="24" t="n">
        <v>2</v>
      </c>
      <c r="D32" s="24" t="n">
        <v>2</v>
      </c>
      <c r="E32" s="24" t="n">
        <v>2</v>
      </c>
      <c r="F32" s="24" t="n">
        <v>1</v>
      </c>
      <c r="G32" s="24"/>
      <c r="H32" s="24" t="n">
        <v>1</v>
      </c>
      <c r="I32" s="24"/>
      <c r="J32" s="24" t="s">
        <v>14</v>
      </c>
      <c r="K32" s="24"/>
      <c r="L32" s="24"/>
      <c r="M32" s="24"/>
      <c r="N32" s="24"/>
      <c r="O32" s="24"/>
      <c r="P32" s="24"/>
      <c r="Q32" s="24"/>
      <c r="R32" s="24"/>
      <c r="S32" s="25" t="n">
        <f aca="false">IFERROR(C32*460+D32*-560,0)+IFERROR(K32*460+L32*-560,0)</f>
        <v>-200</v>
      </c>
    </row>
    <row r="33" customFormat="false" ht="19.5" hidden="false" customHeight="true" outlineLevel="0" collapsed="false">
      <c r="A33" s="13" t="s">
        <v>52</v>
      </c>
      <c r="B33" s="14" t="s">
        <v>25</v>
      </c>
      <c r="C33" s="15" t="s">
        <v>26</v>
      </c>
      <c r="D33" s="15" t="s">
        <v>26</v>
      </c>
      <c r="E33" s="15" t="s">
        <v>26</v>
      </c>
      <c r="F33" s="15" t="s">
        <v>26</v>
      </c>
      <c r="G33" s="15" t="s">
        <v>26</v>
      </c>
      <c r="H33" s="15" t="s">
        <v>26</v>
      </c>
      <c r="I33" s="15" t="s">
        <v>26</v>
      </c>
      <c r="J33" s="15" t="s">
        <v>26</v>
      </c>
      <c r="K33" s="16" t="n">
        <v>1</v>
      </c>
      <c r="L33" s="16" t="n">
        <v>2</v>
      </c>
      <c r="M33" s="16" t="n">
        <v>1</v>
      </c>
      <c r="N33" s="16" t="n">
        <v>2</v>
      </c>
      <c r="O33" s="16"/>
      <c r="P33" s="16"/>
      <c r="Q33" s="16" t="n">
        <v>2</v>
      </c>
      <c r="R33" s="16" t="s">
        <v>8</v>
      </c>
      <c r="S33" s="17" t="n">
        <f aca="false">IFERROR(K33*460+L33*-560,0)</f>
        <v>-660</v>
      </c>
    </row>
    <row r="34" customFormat="false" ht="19.5" hidden="false" customHeight="true" outlineLevel="0" collapsed="false">
      <c r="A34" s="22" t="s">
        <v>53</v>
      </c>
      <c r="B34" s="23" t="s">
        <v>28</v>
      </c>
      <c r="C34" s="24" t="n">
        <v>1</v>
      </c>
      <c r="D34" s="24" t="n">
        <v>2</v>
      </c>
      <c r="E34" s="24" t="n">
        <v>1</v>
      </c>
      <c r="F34" s="24" t="n">
        <v>2</v>
      </c>
      <c r="G34" s="24"/>
      <c r="H34" s="24"/>
      <c r="I34" s="24"/>
      <c r="J34" s="24" t="s">
        <v>8</v>
      </c>
      <c r="K34" s="24" t="n">
        <v>1</v>
      </c>
      <c r="L34" s="24" t="n">
        <v>2</v>
      </c>
      <c r="M34" s="24"/>
      <c r="N34" s="24" t="n">
        <v>2</v>
      </c>
      <c r="O34" s="24" t="n">
        <v>1</v>
      </c>
      <c r="P34" s="24"/>
      <c r="Q34" s="24"/>
      <c r="R34" s="24" t="s">
        <v>8</v>
      </c>
      <c r="S34" s="25" t="n">
        <f aca="false">IFERROR(C34*460+D34*-560,0)+IFERROR(K34*460+L34*-560,0)</f>
        <v>-1320</v>
      </c>
    </row>
    <row r="35" customFormat="false" ht="19.5" hidden="false" customHeight="true" outlineLevel="0" collapsed="false">
      <c r="A35" s="22" t="s">
        <v>54</v>
      </c>
      <c r="B35" s="23" t="s">
        <v>17</v>
      </c>
      <c r="C35" s="24" t="n">
        <v>1</v>
      </c>
      <c r="D35" s="24"/>
      <c r="E35" s="24" t="n">
        <v>1</v>
      </c>
      <c r="F35" s="24"/>
      <c r="G35" s="24"/>
      <c r="H35" s="24"/>
      <c r="I35" s="24" t="n">
        <v>1</v>
      </c>
      <c r="J35" s="24" t="s">
        <v>8</v>
      </c>
      <c r="K35" s="24" t="n">
        <v>1</v>
      </c>
      <c r="L35" s="24" t="n">
        <v>1</v>
      </c>
      <c r="M35" s="24" t="n">
        <v>1</v>
      </c>
      <c r="N35" s="24" t="n">
        <v>1</v>
      </c>
      <c r="O35" s="24"/>
      <c r="P35" s="24"/>
      <c r="Q35" s="24"/>
      <c r="R35" s="24" t="s">
        <v>8</v>
      </c>
      <c r="S35" s="25" t="n">
        <f aca="false">IFERROR(C35*460+D35*-560,0)+IFERROR(K35*460+L35*-560,0)</f>
        <v>360</v>
      </c>
    </row>
    <row r="36" customFormat="false" ht="19.5" hidden="false" customHeight="true" outlineLevel="0" collapsed="false">
      <c r="A36" s="22" t="s">
        <v>55</v>
      </c>
      <c r="B36" s="23" t="s">
        <v>19</v>
      </c>
      <c r="C36" s="24" t="n">
        <v>2</v>
      </c>
      <c r="D36" s="24" t="n">
        <v>1</v>
      </c>
      <c r="E36" s="24" t="n">
        <v>2</v>
      </c>
      <c r="F36" s="24" t="n">
        <v>1</v>
      </c>
      <c r="G36" s="24"/>
      <c r="H36" s="24"/>
      <c r="I36" s="24"/>
      <c r="J36" s="24" t="s">
        <v>8</v>
      </c>
      <c r="K36" s="24"/>
      <c r="L36" s="24" t="n">
        <v>1</v>
      </c>
      <c r="M36" s="24"/>
      <c r="N36" s="24"/>
      <c r="O36" s="24"/>
      <c r="P36" s="24"/>
      <c r="Q36" s="24" t="n">
        <v>1</v>
      </c>
      <c r="R36" s="24" t="s">
        <v>8</v>
      </c>
      <c r="S36" s="25" t="n">
        <f aca="false">IFERROR(C36*460+D36*-560,0)+IFERROR(K36*460+L36*-560,0)</f>
        <v>-200</v>
      </c>
    </row>
    <row r="37" customFormat="false" ht="19.5" hidden="false" customHeight="true" outlineLevel="0" collapsed="false">
      <c r="A37" s="22" t="s">
        <v>56</v>
      </c>
      <c r="B37" s="23" t="s">
        <v>21</v>
      </c>
      <c r="C37" s="24" t="n">
        <v>2</v>
      </c>
      <c r="D37" s="24"/>
      <c r="E37" s="24" t="n">
        <v>1</v>
      </c>
      <c r="F37" s="24"/>
      <c r="G37" s="24" t="n">
        <v>1</v>
      </c>
      <c r="H37" s="24"/>
      <c r="I37" s="24" t="n">
        <v>7</v>
      </c>
      <c r="J37" s="24" t="s">
        <v>14</v>
      </c>
      <c r="K37" s="24" t="n">
        <v>2</v>
      </c>
      <c r="L37" s="24"/>
      <c r="M37" s="24"/>
      <c r="N37" s="24"/>
      <c r="O37" s="24"/>
      <c r="P37" s="24"/>
      <c r="Q37" s="24" t="n">
        <v>1</v>
      </c>
      <c r="R37" s="24" t="s">
        <v>8</v>
      </c>
      <c r="S37" s="25" t="n">
        <f aca="false">IFERROR(C37*460+D37*-560,0)+IFERROR(K37*460+L37*-560,0)</f>
        <v>1840</v>
      </c>
    </row>
    <row r="38" customFormat="false" ht="19.5" hidden="false" customHeight="true" outlineLevel="0" collapsed="false">
      <c r="A38" s="22" t="s">
        <v>57</v>
      </c>
      <c r="B38" s="23" t="s">
        <v>23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5" t="n">
        <f aca="false">IFERROR(C38*460+D38*-560,0)+IFERROR(K38*460+L38*-560,0)</f>
        <v>0</v>
      </c>
    </row>
    <row r="39" customFormat="false" ht="19.5" hidden="false" customHeight="true" outlineLevel="0" collapsed="false">
      <c r="A39" s="13" t="s">
        <v>58</v>
      </c>
      <c r="B39" s="14" t="s">
        <v>25</v>
      </c>
      <c r="C39" s="15" t="s">
        <v>26</v>
      </c>
      <c r="D39" s="15" t="s">
        <v>26</v>
      </c>
      <c r="E39" s="15" t="s">
        <v>26</v>
      </c>
      <c r="F39" s="15" t="s">
        <v>26</v>
      </c>
      <c r="G39" s="15" t="s">
        <v>26</v>
      </c>
      <c r="H39" s="15" t="s">
        <v>26</v>
      </c>
      <c r="I39" s="15" t="s">
        <v>26</v>
      </c>
      <c r="J39" s="15" t="s">
        <v>26</v>
      </c>
      <c r="K39" s="16"/>
      <c r="L39" s="16"/>
      <c r="M39" s="16"/>
      <c r="N39" s="16"/>
      <c r="O39" s="16"/>
      <c r="P39" s="16"/>
      <c r="Q39" s="16"/>
      <c r="R39" s="16"/>
      <c r="S39" s="17" t="n">
        <f aca="false">IFERROR(K39*460+L39*-560,0)</f>
        <v>0</v>
      </c>
    </row>
    <row r="40" customFormat="false" ht="19.5" hidden="false" customHeight="true" outlineLevel="0" collapsed="false">
      <c r="A40" s="22" t="s">
        <v>59</v>
      </c>
      <c r="B40" s="23" t="s">
        <v>17</v>
      </c>
      <c r="C40" s="24" t="n">
        <v>3</v>
      </c>
      <c r="D40" s="24" t="n">
        <v>1</v>
      </c>
      <c r="E40" s="24" t="n">
        <v>2</v>
      </c>
      <c r="F40" s="24"/>
      <c r="G40" s="24" t="n">
        <v>1</v>
      </c>
      <c r="H40" s="24" t="n">
        <v>1</v>
      </c>
      <c r="I40" s="24" t="n">
        <v>2</v>
      </c>
      <c r="J40" s="24" t="s">
        <v>14</v>
      </c>
      <c r="K40" s="24"/>
      <c r="L40" s="24" t="n">
        <v>2</v>
      </c>
      <c r="M40" s="24"/>
      <c r="N40" s="24"/>
      <c r="O40" s="24"/>
      <c r="P40" s="24" t="n">
        <v>2</v>
      </c>
      <c r="Q40" s="24"/>
      <c r="R40" s="24" t="s">
        <v>8</v>
      </c>
      <c r="S40" s="25" t="n">
        <f aca="false">IFERROR(C40*460+D40*-560,0)+IFERROR(K40*460+L40*-560,0)</f>
        <v>-300</v>
      </c>
    </row>
    <row r="41" customFormat="false" ht="19.5" hidden="false" customHeight="true" outlineLevel="0" collapsed="false">
      <c r="A41" s="22" t="s">
        <v>60</v>
      </c>
      <c r="B41" s="23" t="s">
        <v>19</v>
      </c>
      <c r="C41" s="24" t="n">
        <v>2</v>
      </c>
      <c r="D41" s="24" t="n">
        <v>1</v>
      </c>
      <c r="E41" s="24"/>
      <c r="F41" s="24" t="n">
        <v>1</v>
      </c>
      <c r="G41" s="24" t="n">
        <v>2</v>
      </c>
      <c r="H41" s="24"/>
      <c r="I41" s="24" t="n">
        <v>3</v>
      </c>
      <c r="J41" s="24" t="s">
        <v>8</v>
      </c>
      <c r="K41" s="24"/>
      <c r="L41" s="24"/>
      <c r="M41" s="24"/>
      <c r="N41" s="24"/>
      <c r="O41" s="24"/>
      <c r="P41" s="24"/>
      <c r="Q41" s="24"/>
      <c r="R41" s="24"/>
      <c r="S41" s="25" t="n">
        <f aca="false">IFERROR(C41*460+D41*-560,0)+IFERROR(K41*460+L41*-560,0)</f>
        <v>360</v>
      </c>
    </row>
    <row r="42" customFormat="false" ht="19.5" hidden="false" customHeight="true" outlineLevel="0" collapsed="false">
      <c r="A42" s="22" t="s">
        <v>61</v>
      </c>
      <c r="B42" s="23" t="s">
        <v>21</v>
      </c>
      <c r="C42" s="24"/>
      <c r="D42" s="24"/>
      <c r="E42" s="24"/>
      <c r="F42" s="24"/>
      <c r="G42" s="24"/>
      <c r="H42" s="24"/>
      <c r="I42" s="24" t="n">
        <v>2</v>
      </c>
      <c r="J42" s="24"/>
      <c r="K42" s="24"/>
      <c r="L42" s="24" t="n">
        <v>1</v>
      </c>
      <c r="M42" s="24"/>
      <c r="N42" s="24"/>
      <c r="O42" s="24" t="n">
        <v>1</v>
      </c>
      <c r="P42" s="24"/>
      <c r="Q42" s="24"/>
      <c r="R42" s="24" t="s">
        <v>8</v>
      </c>
      <c r="S42" s="25" t="n">
        <f aca="false">IFERROR(C42*460+D42*-560,0)+IFERROR(K42*460+L42*-560,0)</f>
        <v>-560</v>
      </c>
    </row>
    <row r="43" customFormat="false" ht="19.5" hidden="false" customHeight="true" outlineLevel="0" collapsed="false">
      <c r="A43" s="22" t="s">
        <v>62</v>
      </c>
      <c r="B43" s="23" t="s">
        <v>23</v>
      </c>
      <c r="C43" s="24" t="n">
        <v>2</v>
      </c>
      <c r="D43" s="24"/>
      <c r="E43" s="24" t="n">
        <v>1</v>
      </c>
      <c r="F43" s="24"/>
      <c r="G43" s="24" t="n">
        <v>1</v>
      </c>
      <c r="H43" s="24"/>
      <c r="I43" s="24" t="n">
        <v>4</v>
      </c>
      <c r="J43" s="24" t="s">
        <v>8</v>
      </c>
      <c r="K43" s="24"/>
      <c r="L43" s="24"/>
      <c r="M43" s="24"/>
      <c r="N43" s="24"/>
      <c r="O43" s="24"/>
      <c r="P43" s="24"/>
      <c r="Q43" s="24"/>
      <c r="R43" s="24"/>
      <c r="S43" s="25" t="n">
        <f aca="false">IFERROR(C43*460+D43*-560,0)+IFERROR(K43*460+L43*-560,0)</f>
        <v>920</v>
      </c>
    </row>
    <row r="44" customFormat="false" ht="19.5" hidden="false" customHeight="true" outlineLevel="0" collapsed="false">
      <c r="A44" s="13" t="s">
        <v>63</v>
      </c>
      <c r="B44" s="14" t="s">
        <v>25</v>
      </c>
      <c r="C44" s="15" t="s">
        <v>26</v>
      </c>
      <c r="D44" s="15" t="s">
        <v>26</v>
      </c>
      <c r="E44" s="15" t="s">
        <v>26</v>
      </c>
      <c r="F44" s="15" t="s">
        <v>26</v>
      </c>
      <c r="G44" s="15" t="s">
        <v>26</v>
      </c>
      <c r="H44" s="15" t="s">
        <v>26</v>
      </c>
      <c r="I44" s="15" t="s">
        <v>26</v>
      </c>
      <c r="J44" s="15" t="s">
        <v>26</v>
      </c>
      <c r="K44" s="16" t="n">
        <v>3</v>
      </c>
      <c r="L44" s="16" t="n">
        <v>1</v>
      </c>
      <c r="M44" s="16"/>
      <c r="N44" s="16" t="n">
        <v>1</v>
      </c>
      <c r="O44" s="16" t="n">
        <v>3</v>
      </c>
      <c r="P44" s="16"/>
      <c r="Q44" s="16"/>
      <c r="R44" s="16" t="s">
        <v>8</v>
      </c>
      <c r="S44" s="17" t="n">
        <f aca="false">IFERROR(K44*460+L44*-560,0)</f>
        <v>820</v>
      </c>
    </row>
    <row r="45" customFormat="false" ht="19.5" hidden="false" customHeight="true" outlineLevel="0" collapsed="false">
      <c r="A45" s="22" t="s">
        <v>64</v>
      </c>
      <c r="B45" s="23" t="s">
        <v>28</v>
      </c>
      <c r="C45" s="24"/>
      <c r="D45" s="24"/>
      <c r="E45" s="24"/>
      <c r="F45" s="24"/>
      <c r="G45" s="24"/>
      <c r="H45" s="24"/>
      <c r="I45" s="24"/>
      <c r="J45" s="24"/>
      <c r="K45" s="24" t="n">
        <v>1</v>
      </c>
      <c r="L45" s="24"/>
      <c r="M45" s="24" t="n">
        <v>1</v>
      </c>
      <c r="N45" s="24"/>
      <c r="O45" s="24"/>
      <c r="P45" s="24"/>
      <c r="Q45" s="24"/>
      <c r="R45" s="24"/>
      <c r="S45" s="25" t="n">
        <f aca="false">IFERROR(C45*460+D45*-560,0)+IFERROR(K45*460+L45*-560,0)</f>
        <v>460</v>
      </c>
    </row>
    <row r="46" customFormat="false" ht="19.5" hidden="false" customHeight="true" outlineLevel="0" collapsed="false">
      <c r="A46" s="22" t="s">
        <v>65</v>
      </c>
      <c r="B46" s="23" t="s">
        <v>17</v>
      </c>
      <c r="C46" s="24"/>
      <c r="D46" s="24"/>
      <c r="E46" s="24"/>
      <c r="F46" s="24"/>
      <c r="G46" s="24"/>
      <c r="H46" s="24"/>
      <c r="I46" s="24"/>
      <c r="J46" s="24"/>
      <c r="K46" s="24"/>
      <c r="L46" s="24" t="n">
        <v>1</v>
      </c>
      <c r="M46" s="24"/>
      <c r="N46" s="24"/>
      <c r="O46" s="24"/>
      <c r="P46" s="24"/>
      <c r="Q46" s="24" t="n">
        <v>1</v>
      </c>
      <c r="R46" s="24" t="s">
        <v>8</v>
      </c>
      <c r="S46" s="25" t="n">
        <f aca="false">IFERROR(C46*460+D46*-560,0)+IFERROR(K46*460+L46*-560,0)</f>
        <v>-560</v>
      </c>
    </row>
    <row r="47" customFormat="false" ht="19.5" hidden="false" customHeight="true" outlineLevel="0" collapsed="false">
      <c r="A47" s="22" t="s">
        <v>66</v>
      </c>
      <c r="B47" s="23" t="s">
        <v>19</v>
      </c>
      <c r="C47" s="24" t="n">
        <v>1</v>
      </c>
      <c r="D47" s="24" t="n">
        <v>2</v>
      </c>
      <c r="E47" s="24" t="n">
        <v>1</v>
      </c>
      <c r="F47" s="24" t="n">
        <v>1</v>
      </c>
      <c r="G47" s="24"/>
      <c r="H47" s="24" t="n">
        <v>1</v>
      </c>
      <c r="I47" s="24"/>
      <c r="J47" s="24" t="s">
        <v>14</v>
      </c>
      <c r="K47" s="24"/>
      <c r="L47" s="24" t="n">
        <v>1</v>
      </c>
      <c r="M47" s="24"/>
      <c r="N47" s="24" t="n">
        <v>1</v>
      </c>
      <c r="O47" s="24"/>
      <c r="P47" s="24"/>
      <c r="Q47" s="24"/>
      <c r="R47" s="24" t="s">
        <v>8</v>
      </c>
      <c r="S47" s="25" t="n">
        <f aca="false">IFERROR(C47*460+D47*-560,0)+IFERROR(K47*460+L47*-560,0)</f>
        <v>-1220</v>
      </c>
    </row>
    <row r="48" customFormat="false" ht="19.5" hidden="false" customHeight="true" outlineLevel="0" collapsed="false">
      <c r="A48" s="22" t="s">
        <v>67</v>
      </c>
      <c r="B48" s="23" t="s">
        <v>21</v>
      </c>
      <c r="C48" s="24" t="n">
        <v>1</v>
      </c>
      <c r="D48" s="24"/>
      <c r="E48" s="24"/>
      <c r="F48" s="24"/>
      <c r="G48" s="24" t="n">
        <v>1</v>
      </c>
      <c r="H48" s="24"/>
      <c r="I48" s="24" t="n">
        <v>1</v>
      </c>
      <c r="J48" s="24" t="s">
        <v>8</v>
      </c>
      <c r="K48" s="24"/>
      <c r="L48" s="24" t="n">
        <v>1</v>
      </c>
      <c r="M48" s="24"/>
      <c r="N48" s="24" t="n">
        <v>1</v>
      </c>
      <c r="O48" s="24"/>
      <c r="P48" s="24"/>
      <c r="Q48" s="24" t="n">
        <v>2</v>
      </c>
      <c r="R48" s="24" t="s">
        <v>8</v>
      </c>
      <c r="S48" s="25" t="n">
        <f aca="false">IFERROR(C48*460+D48*-560,0)+IFERROR(K48*460+L48*-560,0)</f>
        <v>-100</v>
      </c>
    </row>
    <row r="49" customFormat="false" ht="19.5" hidden="false" customHeight="true" outlineLevel="0" collapsed="false">
      <c r="A49" s="22" t="s">
        <v>68</v>
      </c>
      <c r="B49" s="23" t="s">
        <v>23</v>
      </c>
      <c r="C49" s="24"/>
      <c r="D49" s="24" t="n">
        <v>2</v>
      </c>
      <c r="E49" s="24"/>
      <c r="F49" s="24"/>
      <c r="G49" s="24"/>
      <c r="H49" s="24" t="n">
        <v>2</v>
      </c>
      <c r="I49" s="24"/>
      <c r="J49" s="24" t="s">
        <v>8</v>
      </c>
      <c r="K49" s="24"/>
      <c r="L49" s="24"/>
      <c r="M49" s="24"/>
      <c r="N49" s="24"/>
      <c r="O49" s="24"/>
      <c r="P49" s="24"/>
      <c r="Q49" s="24"/>
      <c r="R49" s="24"/>
      <c r="S49" s="25" t="n">
        <f aca="false">IFERROR(C49*460+D49*-560,0)+IFERROR(K49*460+L49*-560,0)</f>
        <v>-1120</v>
      </c>
    </row>
    <row r="50" customFormat="false" ht="21.75" hidden="false" customHeight="true" outlineLevel="0" collapsed="false">
      <c r="A50" s="18" t="s">
        <v>69</v>
      </c>
      <c r="B50" s="19"/>
      <c r="C50" s="20" t="n">
        <f aca="false">SUM(C27:C49)</f>
        <v>19</v>
      </c>
      <c r="D50" s="20" t="n">
        <f aca="false">SUM(D27:D49)</f>
        <v>16</v>
      </c>
      <c r="E50" s="20" t="n">
        <f aca="false">SUM(E27:E49)</f>
        <v>12</v>
      </c>
      <c r="F50" s="20" t="n">
        <f aca="false">SUM(F27:F49)</f>
        <v>8</v>
      </c>
      <c r="G50" s="20" t="n">
        <f aca="false">SUM(G27:G49)</f>
        <v>7</v>
      </c>
      <c r="H50" s="20" t="n">
        <f aca="false">SUM(H27:H49)</f>
        <v>8</v>
      </c>
      <c r="I50" s="20" t="n">
        <f aca="false">SUM(I27:I49)</f>
        <v>22</v>
      </c>
      <c r="J50" s="19"/>
      <c r="K50" s="20" t="n">
        <f aca="false">SUM(K27:K49)</f>
        <v>13</v>
      </c>
      <c r="L50" s="20" t="n">
        <f aca="false">SUM(L27:L49)</f>
        <v>20</v>
      </c>
      <c r="M50" s="20" t="n">
        <f aca="false">SUM(M27:M49)</f>
        <v>4</v>
      </c>
      <c r="N50" s="20" t="n">
        <f aca="false">SUM(N27:N49)</f>
        <v>13</v>
      </c>
      <c r="O50" s="20" t="n">
        <f aca="false">SUM(O27:O49)</f>
        <v>8</v>
      </c>
      <c r="P50" s="20" t="n">
        <f aca="false">SUM(P27:P49)</f>
        <v>3</v>
      </c>
      <c r="Q50" s="20" t="n">
        <f aca="false">SUM(Q27:Q49)</f>
        <v>9</v>
      </c>
      <c r="R50" s="19"/>
      <c r="S50" s="21" t="n">
        <f aca="false">SUM(S27:S49)</f>
        <v>-5440</v>
      </c>
    </row>
    <row r="51" customFormat="false" ht="19.5" hidden="false" customHeight="true" outlineLevel="0" collapsed="false">
      <c r="A51" s="13" t="s">
        <v>70</v>
      </c>
      <c r="B51" s="14" t="s">
        <v>25</v>
      </c>
      <c r="C51" s="15" t="s">
        <v>26</v>
      </c>
      <c r="D51" s="15" t="s">
        <v>26</v>
      </c>
      <c r="E51" s="15" t="s">
        <v>26</v>
      </c>
      <c r="F51" s="15" t="s">
        <v>26</v>
      </c>
      <c r="G51" s="15" t="s">
        <v>26</v>
      </c>
      <c r="H51" s="15" t="s">
        <v>26</v>
      </c>
      <c r="I51" s="15" t="s">
        <v>26</v>
      </c>
      <c r="J51" s="15" t="s">
        <v>26</v>
      </c>
      <c r="K51" s="16" t="n">
        <v>2</v>
      </c>
      <c r="L51" s="16"/>
      <c r="M51" s="16" t="n">
        <v>1</v>
      </c>
      <c r="N51" s="16"/>
      <c r="O51" s="16" t="n">
        <v>1</v>
      </c>
      <c r="P51" s="16"/>
      <c r="Q51" s="16" t="n">
        <v>2</v>
      </c>
      <c r="R51" s="16" t="s">
        <v>8</v>
      </c>
      <c r="S51" s="17" t="n">
        <f aca="false">IFERROR(K51*460+L51*-560,0)</f>
        <v>920</v>
      </c>
    </row>
    <row r="52" customFormat="false" ht="19.5" hidden="false" customHeight="true" outlineLevel="0" collapsed="false">
      <c r="A52" s="9" t="s">
        <v>71</v>
      </c>
      <c r="B52" s="10" t="s">
        <v>28</v>
      </c>
      <c r="C52" s="11" t="n">
        <v>1</v>
      </c>
      <c r="D52" s="11" t="n">
        <v>1</v>
      </c>
      <c r="E52" s="11" t="n">
        <v>1</v>
      </c>
      <c r="F52" s="11"/>
      <c r="G52" s="11"/>
      <c r="H52" s="11" t="n">
        <v>1</v>
      </c>
      <c r="I52" s="11"/>
      <c r="J52" s="11" t="s">
        <v>8</v>
      </c>
      <c r="K52" s="11" t="n">
        <v>1</v>
      </c>
      <c r="L52" s="11" t="n">
        <v>1</v>
      </c>
      <c r="M52" s="11"/>
      <c r="N52" s="11" t="n">
        <v>1</v>
      </c>
      <c r="O52" s="11"/>
      <c r="P52" s="11"/>
      <c r="Q52" s="11" t="n">
        <v>1</v>
      </c>
      <c r="R52" s="11" t="s">
        <v>14</v>
      </c>
      <c r="S52" s="12" t="n">
        <f aca="false">IFERROR(C52*460+D52*-560,0)+IFERROR(K52*460+L52*-560,0)</f>
        <v>-200</v>
      </c>
    </row>
    <row r="53" customFormat="false" ht="19.5" hidden="false" customHeight="true" outlineLevel="0" collapsed="false">
      <c r="A53" s="9" t="s">
        <v>72</v>
      </c>
      <c r="B53" s="10" t="s">
        <v>17</v>
      </c>
      <c r="C53" s="11" t="n">
        <v>1</v>
      </c>
      <c r="D53" s="11"/>
      <c r="E53" s="11" t="n">
        <v>1</v>
      </c>
      <c r="F53" s="11"/>
      <c r="G53" s="11"/>
      <c r="H53" s="11"/>
      <c r="I53" s="11" t="n">
        <v>2</v>
      </c>
      <c r="J53" s="11" t="s">
        <v>8</v>
      </c>
      <c r="K53" s="11" t="n">
        <v>1</v>
      </c>
      <c r="L53" s="11"/>
      <c r="M53" s="11"/>
      <c r="N53" s="11"/>
      <c r="O53" s="11"/>
      <c r="P53" s="11"/>
      <c r="Q53" s="11" t="n">
        <v>1</v>
      </c>
      <c r="R53" s="11" t="s">
        <v>8</v>
      </c>
      <c r="S53" s="12" t="n">
        <f aca="false">IFERROR(C53*460+D53*-560,0)+IFERROR(K53*460+L53*-560,0)</f>
        <v>920</v>
      </c>
    </row>
    <row r="54" customFormat="false" ht="19.5" hidden="false" customHeight="true" outlineLevel="0" collapsed="false">
      <c r="A54" s="9" t="s">
        <v>73</v>
      </c>
      <c r="B54" s="10" t="s">
        <v>19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2" t="n">
        <f aca="false">IFERROR(C54*460+D54*-560,0)+IFERROR(K54*460+L54*-560,0)</f>
        <v>0</v>
      </c>
    </row>
    <row r="55" customFormat="false" ht="19.5" hidden="false" customHeight="true" outlineLevel="0" collapsed="false">
      <c r="A55" s="9" t="s">
        <v>74</v>
      </c>
      <c r="B55" s="10" t="s">
        <v>21</v>
      </c>
      <c r="C55" s="11" t="n">
        <v>2</v>
      </c>
      <c r="D55" s="11"/>
      <c r="E55" s="11" t="n">
        <v>1</v>
      </c>
      <c r="F55" s="11"/>
      <c r="G55" s="11" t="n">
        <v>1</v>
      </c>
      <c r="H55" s="11"/>
      <c r="I55" s="11" t="n">
        <v>1</v>
      </c>
      <c r="J55" s="11" t="s">
        <v>14</v>
      </c>
      <c r="K55" s="11" t="n">
        <v>1</v>
      </c>
      <c r="L55" s="11" t="n">
        <v>1</v>
      </c>
      <c r="M55" s="11" t="n">
        <v>1</v>
      </c>
      <c r="N55" s="11"/>
      <c r="O55" s="11"/>
      <c r="P55" s="11" t="n">
        <v>1</v>
      </c>
      <c r="Q55" s="11" t="n">
        <v>1</v>
      </c>
      <c r="R55" s="11" t="s">
        <v>14</v>
      </c>
      <c r="S55" s="12" t="n">
        <f aca="false">IFERROR(C55*460+D55*-560,0)+IFERROR(K55*460+L55*-560,0)</f>
        <v>820</v>
      </c>
    </row>
    <row r="56" customFormat="false" ht="19.5" hidden="false" customHeight="true" outlineLevel="0" collapsed="false">
      <c r="A56" s="9" t="s">
        <v>75</v>
      </c>
      <c r="B56" s="10" t="s">
        <v>23</v>
      </c>
      <c r="C56" s="11" t="n">
        <v>1</v>
      </c>
      <c r="D56" s="11" t="n">
        <v>4</v>
      </c>
      <c r="E56" s="11" t="n">
        <v>1</v>
      </c>
      <c r="F56" s="11" t="n">
        <v>2</v>
      </c>
      <c r="G56" s="11"/>
      <c r="H56" s="11" t="n">
        <v>2</v>
      </c>
      <c r="I56" s="11" t="n">
        <v>1</v>
      </c>
      <c r="J56" s="11" t="s">
        <v>14</v>
      </c>
      <c r="K56" s="11"/>
      <c r="L56" s="11"/>
      <c r="M56" s="11"/>
      <c r="N56" s="11"/>
      <c r="O56" s="11"/>
      <c r="P56" s="11"/>
      <c r="Q56" s="11"/>
      <c r="R56" s="11"/>
      <c r="S56" s="12" t="n">
        <f aca="false">IFERROR(C56*460+D56*-560,0)+IFERROR(K56*460+L56*-560,0)</f>
        <v>-1780</v>
      </c>
    </row>
    <row r="57" customFormat="false" ht="19.5" hidden="false" customHeight="true" outlineLevel="0" collapsed="false">
      <c r="A57" s="13" t="s">
        <v>76</v>
      </c>
      <c r="B57" s="14" t="s">
        <v>25</v>
      </c>
      <c r="C57" s="15" t="s">
        <v>26</v>
      </c>
      <c r="D57" s="15" t="s">
        <v>26</v>
      </c>
      <c r="E57" s="15" t="s">
        <v>26</v>
      </c>
      <c r="F57" s="15" t="s">
        <v>26</v>
      </c>
      <c r="G57" s="15" t="s">
        <v>26</v>
      </c>
      <c r="H57" s="15" t="s">
        <v>26</v>
      </c>
      <c r="I57" s="15" t="s">
        <v>26</v>
      </c>
      <c r="J57" s="15" t="s">
        <v>26</v>
      </c>
      <c r="K57" s="16" t="n">
        <v>3</v>
      </c>
      <c r="L57" s="16" t="n">
        <v>1</v>
      </c>
      <c r="M57" s="16" t="n">
        <v>1</v>
      </c>
      <c r="N57" s="16"/>
      <c r="O57" s="16" t="n">
        <v>2</v>
      </c>
      <c r="P57" s="16" t="n">
        <v>1</v>
      </c>
      <c r="Q57" s="16" t="n">
        <v>1</v>
      </c>
      <c r="R57" s="16" t="s">
        <v>8</v>
      </c>
      <c r="S57" s="17" t="n">
        <f aca="false">IFERROR(K57*460+L57*-560,0)</f>
        <v>820</v>
      </c>
    </row>
    <row r="58" customFormat="false" ht="19.5" hidden="false" customHeight="true" outlineLevel="0" collapsed="false">
      <c r="A58" s="9" t="s">
        <v>77</v>
      </c>
      <c r="B58" s="10" t="s">
        <v>28</v>
      </c>
      <c r="C58" s="11" t="n">
        <v>2</v>
      </c>
      <c r="D58" s="11" t="n">
        <v>2</v>
      </c>
      <c r="E58" s="11"/>
      <c r="F58" s="11" t="n">
        <v>1</v>
      </c>
      <c r="G58" s="11" t="n">
        <v>2</v>
      </c>
      <c r="H58" s="11" t="n">
        <v>1</v>
      </c>
      <c r="I58" s="11"/>
      <c r="J58" s="11" t="s">
        <v>14</v>
      </c>
      <c r="K58" s="11" t="n">
        <v>1</v>
      </c>
      <c r="L58" s="11" t="n">
        <v>4</v>
      </c>
      <c r="M58" s="11"/>
      <c r="N58" s="11" t="n">
        <v>4</v>
      </c>
      <c r="O58" s="11" t="n">
        <v>1</v>
      </c>
      <c r="P58" s="11"/>
      <c r="Q58" s="11"/>
      <c r="R58" s="11" t="s">
        <v>14</v>
      </c>
      <c r="S58" s="12" t="n">
        <f aca="false">IFERROR(C58*460+D58*-560,0)+IFERROR(K58*460+L58*-560,0)</f>
        <v>-1980</v>
      </c>
    </row>
    <row r="59" customFormat="false" ht="19.5" hidden="false" customHeight="true" outlineLevel="0" collapsed="false">
      <c r="A59" s="9" t="s">
        <v>78</v>
      </c>
      <c r="B59" s="10" t="s">
        <v>17</v>
      </c>
      <c r="C59" s="11" t="n">
        <v>1</v>
      </c>
      <c r="D59" s="11"/>
      <c r="E59" s="11" t="n">
        <v>1</v>
      </c>
      <c r="F59" s="11"/>
      <c r="G59" s="11"/>
      <c r="H59" s="11"/>
      <c r="I59" s="11" t="n">
        <v>1</v>
      </c>
      <c r="J59" s="11" t="s">
        <v>8</v>
      </c>
      <c r="K59" s="11" t="n">
        <v>1</v>
      </c>
      <c r="L59" s="11"/>
      <c r="M59" s="11" t="n">
        <v>1</v>
      </c>
      <c r="N59" s="11"/>
      <c r="O59" s="11"/>
      <c r="P59" s="11"/>
      <c r="Q59" s="11" t="n">
        <v>1</v>
      </c>
      <c r="R59" s="11" t="s">
        <v>8</v>
      </c>
      <c r="S59" s="12" t="n">
        <f aca="false">IFERROR(C59*460+D59*-560,0)+IFERROR(K59*460+L59*-560,0)</f>
        <v>920</v>
      </c>
    </row>
    <row r="60" customFormat="false" ht="19.5" hidden="false" customHeight="true" outlineLevel="0" collapsed="false">
      <c r="A60" s="9" t="s">
        <v>79</v>
      </c>
      <c r="B60" s="10" t="s">
        <v>19</v>
      </c>
      <c r="C60" s="11" t="n">
        <v>1</v>
      </c>
      <c r="D60" s="11" t="n">
        <v>2</v>
      </c>
      <c r="E60" s="11" t="n">
        <v>1</v>
      </c>
      <c r="F60" s="11" t="n">
        <v>1</v>
      </c>
      <c r="G60" s="11"/>
      <c r="H60" s="11" t="n">
        <v>1</v>
      </c>
      <c r="I60" s="11"/>
      <c r="J60" s="11" t="s">
        <v>8</v>
      </c>
      <c r="K60" s="11" t="n">
        <v>1</v>
      </c>
      <c r="L60" s="11"/>
      <c r="M60" s="11"/>
      <c r="N60" s="11"/>
      <c r="O60" s="11" t="n">
        <v>1</v>
      </c>
      <c r="P60" s="11"/>
      <c r="Q60" s="11" t="n">
        <v>1</v>
      </c>
      <c r="R60" s="11" t="s">
        <v>8</v>
      </c>
      <c r="S60" s="12" t="n">
        <f aca="false">IFERROR(C60*460+D60*-560,0)+IFERROR(K60*460+L60*-560,0)</f>
        <v>-200</v>
      </c>
    </row>
    <row r="61" customFormat="false" ht="19.5" hidden="false" customHeight="true" outlineLevel="0" collapsed="false">
      <c r="A61" s="9" t="s">
        <v>80</v>
      </c>
      <c r="B61" s="10" t="s">
        <v>21</v>
      </c>
      <c r="C61" s="11"/>
      <c r="D61" s="11" t="n">
        <v>3</v>
      </c>
      <c r="E61" s="11"/>
      <c r="F61" s="11" t="n">
        <v>2</v>
      </c>
      <c r="G61" s="11"/>
      <c r="H61" s="11" t="n">
        <v>1</v>
      </c>
      <c r="I61" s="11"/>
      <c r="J61" s="11" t="s">
        <v>14</v>
      </c>
      <c r="K61" s="11" t="n">
        <v>2</v>
      </c>
      <c r="L61" s="11"/>
      <c r="M61" s="11" t="n">
        <v>2</v>
      </c>
      <c r="N61" s="11"/>
      <c r="O61" s="11"/>
      <c r="P61" s="11"/>
      <c r="Q61" s="11" t="n">
        <v>1</v>
      </c>
      <c r="R61" s="11" t="s">
        <v>8</v>
      </c>
      <c r="S61" s="12" t="n">
        <f aca="false">IFERROR(C61*460+D61*-560,0)+IFERROR(K61*460+L61*-560,0)</f>
        <v>-760</v>
      </c>
    </row>
    <row r="62" customFormat="false" ht="19.5" hidden="false" customHeight="true" outlineLevel="0" collapsed="false">
      <c r="A62" s="9" t="s">
        <v>81</v>
      </c>
      <c r="B62" s="10" t="s">
        <v>23</v>
      </c>
      <c r="C62" s="11" t="n">
        <v>1</v>
      </c>
      <c r="D62" s="11" t="n">
        <v>1</v>
      </c>
      <c r="E62" s="11"/>
      <c r="F62" s="11"/>
      <c r="G62" s="11" t="n">
        <v>1</v>
      </c>
      <c r="H62" s="11" t="n">
        <v>1</v>
      </c>
      <c r="I62" s="11" t="n">
        <v>2</v>
      </c>
      <c r="J62" s="11" t="s">
        <v>8</v>
      </c>
      <c r="K62" s="11"/>
      <c r="L62" s="11"/>
      <c r="M62" s="11"/>
      <c r="N62" s="11"/>
      <c r="O62" s="11"/>
      <c r="P62" s="11"/>
      <c r="Q62" s="11"/>
      <c r="R62" s="11"/>
      <c r="S62" s="12" t="n">
        <f aca="false">IFERROR(C62*460+D62*-560,0)+IFERROR(K62*460+L62*-560,0)</f>
        <v>-100</v>
      </c>
    </row>
    <row r="63" customFormat="false" ht="19.5" hidden="false" customHeight="true" outlineLevel="0" collapsed="false">
      <c r="A63" s="13" t="s">
        <v>82</v>
      </c>
      <c r="B63" s="14" t="s">
        <v>25</v>
      </c>
      <c r="C63" s="15" t="s">
        <v>26</v>
      </c>
      <c r="D63" s="15" t="s">
        <v>26</v>
      </c>
      <c r="E63" s="15" t="s">
        <v>26</v>
      </c>
      <c r="F63" s="15" t="s">
        <v>26</v>
      </c>
      <c r="G63" s="15" t="s">
        <v>26</v>
      </c>
      <c r="H63" s="15" t="s">
        <v>26</v>
      </c>
      <c r="I63" s="15" t="s">
        <v>26</v>
      </c>
      <c r="J63" s="15" t="s">
        <v>26</v>
      </c>
      <c r="K63" s="16" t="n">
        <v>1</v>
      </c>
      <c r="L63" s="16" t="n">
        <v>2</v>
      </c>
      <c r="M63" s="16" t="n">
        <v>1</v>
      </c>
      <c r="N63" s="16" t="n">
        <v>1</v>
      </c>
      <c r="O63" s="16"/>
      <c r="P63" s="16" t="n">
        <v>1</v>
      </c>
      <c r="Q63" s="16" t="n">
        <v>2</v>
      </c>
      <c r="R63" s="16" t="s">
        <v>8</v>
      </c>
      <c r="S63" s="17" t="n">
        <f aca="false">IFERROR(K63*460+L63*-560,0)</f>
        <v>-660</v>
      </c>
    </row>
    <row r="64" customFormat="false" ht="19.5" hidden="false" customHeight="true" outlineLevel="0" collapsed="false">
      <c r="A64" s="9" t="s">
        <v>83</v>
      </c>
      <c r="B64" s="10" t="s">
        <v>28</v>
      </c>
      <c r="C64" s="11" t="n">
        <v>1</v>
      </c>
      <c r="D64" s="11"/>
      <c r="E64" s="11" t="n">
        <v>1</v>
      </c>
      <c r="F64" s="11"/>
      <c r="G64" s="11"/>
      <c r="H64" s="11"/>
      <c r="I64" s="11"/>
      <c r="J64" s="11" t="s">
        <v>36</v>
      </c>
      <c r="K64" s="11" t="n">
        <v>1</v>
      </c>
      <c r="L64" s="11" t="n">
        <v>1</v>
      </c>
      <c r="M64" s="11"/>
      <c r="N64" s="11"/>
      <c r="O64" s="11" t="n">
        <v>1</v>
      </c>
      <c r="P64" s="11" t="n">
        <v>1</v>
      </c>
      <c r="Q64" s="11"/>
      <c r="R64" s="11" t="s">
        <v>8</v>
      </c>
      <c r="S64" s="12" t="n">
        <f aca="false">IFERROR(C64*460+D64*-560,0)+IFERROR(K64*460+L64*-560,0)</f>
        <v>360</v>
      </c>
    </row>
    <row r="65" customFormat="false" ht="19.5" hidden="false" customHeight="true" outlineLevel="0" collapsed="false">
      <c r="A65" s="9" t="s">
        <v>84</v>
      </c>
      <c r="B65" s="10" t="s">
        <v>17</v>
      </c>
      <c r="C65" s="11"/>
      <c r="D65" s="11" t="n">
        <v>2</v>
      </c>
      <c r="E65" s="11"/>
      <c r="F65" s="11"/>
      <c r="G65" s="11"/>
      <c r="H65" s="11" t="n">
        <v>2</v>
      </c>
      <c r="I65" s="11"/>
      <c r="J65" s="11" t="s">
        <v>8</v>
      </c>
      <c r="K65" s="11" t="n">
        <v>1</v>
      </c>
      <c r="L65" s="11" t="n">
        <v>1</v>
      </c>
      <c r="M65" s="11" t="n">
        <v>1</v>
      </c>
      <c r="N65" s="11"/>
      <c r="O65" s="11"/>
      <c r="P65" s="11" t="n">
        <v>1</v>
      </c>
      <c r="Q65" s="11" t="n">
        <v>1</v>
      </c>
      <c r="R65" s="11" t="s">
        <v>14</v>
      </c>
      <c r="S65" s="12" t="n">
        <f aca="false">IFERROR(C65*460+D65*-560,0)+IFERROR(K65*460+L65*-560,0)</f>
        <v>-1220</v>
      </c>
    </row>
    <row r="66" customFormat="false" ht="19.5" hidden="false" customHeight="true" outlineLevel="0" collapsed="false">
      <c r="A66" s="9" t="s">
        <v>85</v>
      </c>
      <c r="B66" s="10" t="s">
        <v>19</v>
      </c>
      <c r="C66" s="11" t="n">
        <v>2</v>
      </c>
      <c r="D66" s="11" t="n">
        <v>1</v>
      </c>
      <c r="E66" s="11"/>
      <c r="F66" s="11" t="n">
        <v>1</v>
      </c>
      <c r="G66" s="11" t="n">
        <v>2</v>
      </c>
      <c r="H66" s="11"/>
      <c r="I66" s="11" t="n">
        <v>1</v>
      </c>
      <c r="J66" s="11" t="s">
        <v>8</v>
      </c>
      <c r="K66" s="11"/>
      <c r="L66" s="11" t="n">
        <v>1</v>
      </c>
      <c r="M66" s="11"/>
      <c r="N66" s="11" t="n">
        <v>1</v>
      </c>
      <c r="O66" s="11"/>
      <c r="P66" s="11"/>
      <c r="Q66" s="11"/>
      <c r="R66" s="11" t="s">
        <v>8</v>
      </c>
      <c r="S66" s="12" t="n">
        <f aca="false">IFERROR(C66*460+D66*-560,0)+IFERROR(K66*460+L66*-560,0)</f>
        <v>-200</v>
      </c>
    </row>
    <row r="67" customFormat="false" ht="19.5" hidden="false" customHeight="true" outlineLevel="0" collapsed="false">
      <c r="A67" s="9" t="s">
        <v>86</v>
      </c>
      <c r="B67" s="10" t="s">
        <v>21</v>
      </c>
      <c r="C67" s="11" t="n">
        <v>2</v>
      </c>
      <c r="D67" s="11" t="n">
        <v>2</v>
      </c>
      <c r="E67" s="11"/>
      <c r="F67" s="11" t="n">
        <v>1</v>
      </c>
      <c r="G67" s="11" t="n">
        <v>2</v>
      </c>
      <c r="H67" s="11" t="n">
        <v>1</v>
      </c>
      <c r="I67" s="11" t="n">
        <v>2</v>
      </c>
      <c r="J67" s="11" t="s">
        <v>8</v>
      </c>
      <c r="K67" s="11"/>
      <c r="L67" s="11" t="n">
        <v>1</v>
      </c>
      <c r="M67" s="11"/>
      <c r="N67" s="11"/>
      <c r="O67" s="11"/>
      <c r="P67" s="11" t="n">
        <v>1</v>
      </c>
      <c r="Q67" s="11"/>
      <c r="R67" s="11" t="s">
        <v>8</v>
      </c>
      <c r="S67" s="12" t="n">
        <f aca="false">IFERROR(C67*460+D67*-560,0)+IFERROR(K67*460+L67*-560,0)</f>
        <v>-760</v>
      </c>
    </row>
    <row r="68" customFormat="false" ht="19.5" hidden="false" customHeight="true" outlineLevel="0" collapsed="false">
      <c r="A68" s="9" t="s">
        <v>87</v>
      </c>
      <c r="B68" s="10" t="s">
        <v>23</v>
      </c>
      <c r="C68" s="11"/>
      <c r="D68" s="11" t="n">
        <v>2</v>
      </c>
      <c r="E68" s="11"/>
      <c r="F68" s="11" t="n">
        <v>1</v>
      </c>
      <c r="G68" s="11"/>
      <c r="H68" s="11" t="n">
        <v>1</v>
      </c>
      <c r="I68" s="11"/>
      <c r="J68" s="11" t="s">
        <v>8</v>
      </c>
      <c r="K68" s="11"/>
      <c r="L68" s="11"/>
      <c r="M68" s="11"/>
      <c r="N68" s="11"/>
      <c r="O68" s="11"/>
      <c r="P68" s="11"/>
      <c r="Q68" s="11"/>
      <c r="R68" s="11"/>
      <c r="S68" s="12" t="n">
        <f aca="false">IFERROR(C68*460+D68*-560,0)+IFERROR(K68*460+L68*-560,0)</f>
        <v>-1120</v>
      </c>
    </row>
    <row r="69" customFormat="false" ht="19.5" hidden="false" customHeight="true" outlineLevel="0" collapsed="false">
      <c r="A69" s="13" t="s">
        <v>88</v>
      </c>
      <c r="B69" s="14" t="s">
        <v>25</v>
      </c>
      <c r="C69" s="15" t="s">
        <v>26</v>
      </c>
      <c r="D69" s="15" t="s">
        <v>26</v>
      </c>
      <c r="E69" s="15" t="s">
        <v>26</v>
      </c>
      <c r="F69" s="15" t="s">
        <v>26</v>
      </c>
      <c r="G69" s="15" t="s">
        <v>26</v>
      </c>
      <c r="H69" s="15" t="s">
        <v>26</v>
      </c>
      <c r="I69" s="15" t="s">
        <v>26</v>
      </c>
      <c r="J69" s="15" t="s">
        <v>26</v>
      </c>
      <c r="K69" s="16" t="n">
        <v>2</v>
      </c>
      <c r="L69" s="16" t="n">
        <v>1</v>
      </c>
      <c r="M69" s="16" t="n">
        <v>1</v>
      </c>
      <c r="N69" s="16" t="n">
        <v>1</v>
      </c>
      <c r="O69" s="16" t="n">
        <v>1</v>
      </c>
      <c r="P69" s="16"/>
      <c r="Q69" s="16" t="n">
        <v>1</v>
      </c>
      <c r="R69" s="16" t="s">
        <v>8</v>
      </c>
      <c r="S69" s="17" t="n">
        <f aca="false">IFERROR(K69*460+L69*-560,0)</f>
        <v>360</v>
      </c>
    </row>
    <row r="70" customFormat="false" ht="19.5" hidden="false" customHeight="true" outlineLevel="0" collapsed="false">
      <c r="A70" s="9" t="s">
        <v>89</v>
      </c>
      <c r="B70" s="10" t="s">
        <v>28</v>
      </c>
      <c r="C70" s="11"/>
      <c r="D70" s="11" t="n">
        <v>4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2" t="n">
        <f aca="false">IFERROR(C70*460+D70*-560,0)+IFERROR(K70*460+L70*-560,0)</f>
        <v>-2240</v>
      </c>
    </row>
    <row r="71" customFormat="false" ht="19.5" hidden="false" customHeight="true" outlineLevel="0" collapsed="false">
      <c r="A71" s="9" t="s">
        <v>90</v>
      </c>
      <c r="B71" s="10" t="s">
        <v>17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2" t="n">
        <f aca="false">IFERROR(C71*460+D71*-560,0)+IFERROR(K71*460+L71*-560,0)</f>
        <v>0</v>
      </c>
    </row>
    <row r="72" customFormat="false" ht="19.5" hidden="false" customHeight="true" outlineLevel="0" collapsed="false">
      <c r="A72" s="9" t="s">
        <v>91</v>
      </c>
      <c r="B72" s="10" t="s">
        <v>19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2" t="n">
        <f aca="false">IFERROR(C72*460+D72*-560,0)+IFERROR(K72*460+L72*-560,0)</f>
        <v>0</v>
      </c>
    </row>
    <row r="73" customFormat="false" ht="19.5" hidden="false" customHeight="true" outlineLevel="0" collapsed="false">
      <c r="A73" s="9" t="s">
        <v>92</v>
      </c>
      <c r="B73" s="10" t="s">
        <v>21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2" t="n">
        <f aca="false">IFERROR(C73*460+D73*-560,0)+IFERROR(K73*460+L73*-560,0)</f>
        <v>0</v>
      </c>
    </row>
    <row r="74" customFormat="false" ht="19.5" hidden="false" customHeight="true" outlineLevel="0" collapsed="false">
      <c r="A74" s="9" t="s">
        <v>93</v>
      </c>
      <c r="B74" s="10" t="s">
        <v>23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2" t="n">
        <f aca="false">IFERROR(C74*460+D74*-560,0)+IFERROR(K74*460+L74*-560,0)</f>
        <v>0</v>
      </c>
    </row>
    <row r="75" customFormat="false" ht="19.5" hidden="false" customHeight="true" outlineLevel="0" collapsed="false">
      <c r="A75" s="13" t="s">
        <v>94</v>
      </c>
      <c r="B75" s="14" t="s">
        <v>25</v>
      </c>
      <c r="C75" s="15" t="s">
        <v>26</v>
      </c>
      <c r="D75" s="15" t="s">
        <v>26</v>
      </c>
      <c r="E75" s="15" t="s">
        <v>26</v>
      </c>
      <c r="F75" s="15" t="s">
        <v>26</v>
      </c>
      <c r="G75" s="15" t="s">
        <v>26</v>
      </c>
      <c r="H75" s="15" t="s">
        <v>26</v>
      </c>
      <c r="I75" s="15" t="s">
        <v>26</v>
      </c>
      <c r="J75" s="15" t="s">
        <v>26</v>
      </c>
      <c r="K75" s="16"/>
      <c r="L75" s="16"/>
      <c r="M75" s="16"/>
      <c r="N75" s="16"/>
      <c r="O75" s="16"/>
      <c r="P75" s="16"/>
      <c r="Q75" s="16"/>
      <c r="R75" s="16"/>
      <c r="S75" s="17" t="n">
        <f aca="false">IFERROR(K75*460+L75*-560,0)</f>
        <v>0</v>
      </c>
    </row>
    <row r="76" customFormat="false" ht="19.5" hidden="false" customHeight="true" outlineLevel="0" collapsed="false">
      <c r="A76" s="9" t="s">
        <v>95</v>
      </c>
      <c r="B76" s="10" t="s">
        <v>28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2" t="n">
        <f aca="false">IFERROR(C76*460+D76*-560,0)+IFERROR(K76*460+L76*-560,0)</f>
        <v>0</v>
      </c>
    </row>
    <row r="77" customFormat="false" ht="19.5" hidden="false" customHeight="true" outlineLevel="0" collapsed="false">
      <c r="A77" s="9" t="s">
        <v>96</v>
      </c>
      <c r="B77" s="10" t="s">
        <v>17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2" t="n">
        <f aca="false">IFERROR(C77*460+D77*-560,0)+IFERROR(K77*460+L77*-560,0)</f>
        <v>0</v>
      </c>
    </row>
    <row r="78" customFormat="false" ht="21.75" hidden="false" customHeight="true" outlineLevel="0" collapsed="false">
      <c r="A78" s="18" t="s">
        <v>97</v>
      </c>
      <c r="B78" s="19"/>
      <c r="C78" s="20" t="n">
        <f aca="false">SUM(C51:C77)</f>
        <v>15</v>
      </c>
      <c r="D78" s="20" t="n">
        <f aca="false">SUM(D51:D77)</f>
        <v>24</v>
      </c>
      <c r="E78" s="20" t="n">
        <f aca="false">SUM(E51:E77)</f>
        <v>7</v>
      </c>
      <c r="F78" s="20" t="n">
        <f aca="false">SUM(F51:F77)</f>
        <v>9</v>
      </c>
      <c r="G78" s="20" t="n">
        <f aca="false">SUM(G51:G77)</f>
        <v>8</v>
      </c>
      <c r="H78" s="20" t="n">
        <f aca="false">SUM(H51:H77)</f>
        <v>11</v>
      </c>
      <c r="I78" s="20" t="n">
        <f aca="false">SUM(I51:I77)</f>
        <v>10</v>
      </c>
      <c r="J78" s="19"/>
      <c r="K78" s="20" t="n">
        <f aca="false">SUM(K51:K77)</f>
        <v>18</v>
      </c>
      <c r="L78" s="20" t="n">
        <f aca="false">SUM(L51:L77)</f>
        <v>14</v>
      </c>
      <c r="M78" s="20" t="n">
        <f aca="false">SUM(M51:M77)</f>
        <v>9</v>
      </c>
      <c r="N78" s="20" t="n">
        <f aca="false">SUM(N51:N77)</f>
        <v>8</v>
      </c>
      <c r="O78" s="20" t="n">
        <f aca="false">SUM(O51:O77)</f>
        <v>7</v>
      </c>
      <c r="P78" s="20" t="n">
        <f aca="false">SUM(P51:P77)</f>
        <v>6</v>
      </c>
      <c r="Q78" s="20" t="n">
        <f aca="false">SUM(Q51:Q77)</f>
        <v>13</v>
      </c>
      <c r="R78" s="19"/>
      <c r="S78" s="21" t="n">
        <f aca="false">SUM(S51:S77)</f>
        <v>-6100</v>
      </c>
    </row>
    <row r="79" customFormat="false" ht="19.5" hidden="false" customHeight="true" outlineLevel="0" collapsed="false">
      <c r="A79" s="22" t="s">
        <v>98</v>
      </c>
      <c r="B79" s="23" t="s">
        <v>19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5" t="n">
        <f aca="false">IFERROR(C79*460+D79*-560,0)+IFERROR(K79*460+L79*-560,0)</f>
        <v>0</v>
      </c>
    </row>
    <row r="80" customFormat="false" ht="19.5" hidden="false" customHeight="true" outlineLevel="0" collapsed="false">
      <c r="A80" s="22" t="s">
        <v>99</v>
      </c>
      <c r="B80" s="23" t="s">
        <v>21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5" t="n">
        <f aca="false">IFERROR(C80*460+D80*-560,0)+IFERROR(K80*460+L80*-560,0)</f>
        <v>0</v>
      </c>
    </row>
    <row r="81" customFormat="false" ht="19.5" hidden="false" customHeight="true" outlineLevel="0" collapsed="false">
      <c r="A81" s="13" t="s">
        <v>100</v>
      </c>
      <c r="B81" s="14" t="s">
        <v>25</v>
      </c>
      <c r="C81" s="15" t="s">
        <v>26</v>
      </c>
      <c r="D81" s="15" t="s">
        <v>26</v>
      </c>
      <c r="E81" s="15" t="s">
        <v>26</v>
      </c>
      <c r="F81" s="15" t="s">
        <v>26</v>
      </c>
      <c r="G81" s="15" t="s">
        <v>26</v>
      </c>
      <c r="H81" s="15" t="s">
        <v>26</v>
      </c>
      <c r="I81" s="15" t="s">
        <v>26</v>
      </c>
      <c r="J81" s="15" t="s">
        <v>26</v>
      </c>
      <c r="K81" s="16"/>
      <c r="L81" s="16"/>
      <c r="M81" s="16"/>
      <c r="N81" s="16"/>
      <c r="O81" s="16"/>
      <c r="P81" s="16"/>
      <c r="Q81" s="16"/>
      <c r="R81" s="16"/>
      <c r="S81" s="17" t="n">
        <f aca="false">IFERROR(K81*460+L81*-560,0)</f>
        <v>0</v>
      </c>
    </row>
    <row r="82" customFormat="false" ht="19.5" hidden="false" customHeight="true" outlineLevel="0" collapsed="false">
      <c r="A82" s="22" t="s">
        <v>101</v>
      </c>
      <c r="B82" s="23" t="s">
        <v>28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5" t="n">
        <f aca="false">IFERROR(C82*460+D82*-560,0)+IFERROR(K82*460+L82*-560,0)</f>
        <v>0</v>
      </c>
    </row>
    <row r="83" customFormat="false" ht="19.5" hidden="false" customHeight="true" outlineLevel="0" collapsed="false">
      <c r="A83" s="22" t="s">
        <v>102</v>
      </c>
      <c r="B83" s="23" t="s">
        <v>17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5" t="n">
        <f aca="false">IFERROR(C83*460+D83*-560,0)+IFERROR(K83*460+L83*-560,0)</f>
        <v>0</v>
      </c>
    </row>
    <row r="84" customFormat="false" ht="19.5" hidden="false" customHeight="true" outlineLevel="0" collapsed="false">
      <c r="A84" s="22" t="s">
        <v>103</v>
      </c>
      <c r="B84" s="23" t="s">
        <v>19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5" t="n">
        <f aca="false">IFERROR(C84*460+D84*-560,0)+IFERROR(K84*460+L84*-560,0)</f>
        <v>0</v>
      </c>
    </row>
    <row r="85" customFormat="false" ht="19.5" hidden="false" customHeight="true" outlineLevel="0" collapsed="false">
      <c r="A85" s="22" t="s">
        <v>104</v>
      </c>
      <c r="B85" s="23" t="s">
        <v>21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5" t="n">
        <f aca="false">IFERROR(C85*460+D85*-560,0)+IFERROR(K85*460+L85*-560,0)</f>
        <v>0</v>
      </c>
    </row>
    <row r="86" customFormat="false" ht="19.5" hidden="false" customHeight="true" outlineLevel="0" collapsed="false">
      <c r="A86" s="22" t="s">
        <v>105</v>
      </c>
      <c r="B86" s="23" t="s">
        <v>23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5" t="n">
        <f aca="false">IFERROR(C86*460+D86*-560,0)+IFERROR(K86*460+L86*-560,0)</f>
        <v>0</v>
      </c>
    </row>
    <row r="87" customFormat="false" ht="19.5" hidden="false" customHeight="true" outlineLevel="0" collapsed="false">
      <c r="A87" s="13" t="s">
        <v>106</v>
      </c>
      <c r="B87" s="14" t="s">
        <v>25</v>
      </c>
      <c r="C87" s="15" t="s">
        <v>26</v>
      </c>
      <c r="D87" s="15" t="s">
        <v>26</v>
      </c>
      <c r="E87" s="15" t="s">
        <v>26</v>
      </c>
      <c r="F87" s="15" t="s">
        <v>26</v>
      </c>
      <c r="G87" s="15" t="s">
        <v>26</v>
      </c>
      <c r="H87" s="15" t="s">
        <v>26</v>
      </c>
      <c r="I87" s="15" t="s">
        <v>26</v>
      </c>
      <c r="J87" s="15" t="s">
        <v>26</v>
      </c>
      <c r="K87" s="16"/>
      <c r="L87" s="16"/>
      <c r="M87" s="16"/>
      <c r="N87" s="16"/>
      <c r="O87" s="16"/>
      <c r="P87" s="16"/>
      <c r="Q87" s="16"/>
      <c r="R87" s="16"/>
      <c r="S87" s="17" t="n">
        <f aca="false">IFERROR(K87*460+L87*-560,0)</f>
        <v>0</v>
      </c>
    </row>
    <row r="88" customFormat="false" ht="19.5" hidden="false" customHeight="true" outlineLevel="0" collapsed="false">
      <c r="A88" s="22" t="s">
        <v>107</v>
      </c>
      <c r="B88" s="23" t="s">
        <v>28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5" t="n">
        <f aca="false">IFERROR(C88*460+D88*-560,0)+IFERROR(K88*460+L88*-560,0)</f>
        <v>0</v>
      </c>
    </row>
    <row r="89" customFormat="false" ht="19.5" hidden="false" customHeight="true" outlineLevel="0" collapsed="false">
      <c r="A89" s="22" t="s">
        <v>108</v>
      </c>
      <c r="B89" s="23" t="s">
        <v>17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5" t="n">
        <f aca="false">IFERROR(C89*460+D89*-560,0)+IFERROR(K89*460+L89*-560,0)</f>
        <v>0</v>
      </c>
    </row>
    <row r="90" customFormat="false" ht="19.5" hidden="false" customHeight="true" outlineLevel="0" collapsed="false">
      <c r="A90" s="22" t="s">
        <v>109</v>
      </c>
      <c r="B90" s="23" t="s">
        <v>19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5" t="n">
        <f aca="false">IFERROR(C90*460+D90*-560,0)+IFERROR(K90*460+L90*-560,0)</f>
        <v>0</v>
      </c>
    </row>
    <row r="91" customFormat="false" ht="19.5" hidden="false" customHeight="true" outlineLevel="0" collapsed="false">
      <c r="A91" s="22" t="s">
        <v>110</v>
      </c>
      <c r="B91" s="23" t="s">
        <v>21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5" t="n">
        <f aca="false">IFERROR(C91*460+D91*-560,0)+IFERROR(K91*460+L91*-560,0)</f>
        <v>0</v>
      </c>
    </row>
    <row r="92" customFormat="false" ht="19.5" hidden="false" customHeight="true" outlineLevel="0" collapsed="false">
      <c r="A92" s="22" t="s">
        <v>111</v>
      </c>
      <c r="B92" s="23" t="s">
        <v>23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5" t="n">
        <f aca="false">IFERROR(C92*460+D92*-560,0)+IFERROR(K92*460+L92*-560,0)</f>
        <v>0</v>
      </c>
    </row>
    <row r="93" customFormat="false" ht="19.5" hidden="false" customHeight="true" outlineLevel="0" collapsed="false">
      <c r="A93" s="13" t="s">
        <v>112</v>
      </c>
      <c r="B93" s="14" t="s">
        <v>25</v>
      </c>
      <c r="C93" s="15" t="s">
        <v>26</v>
      </c>
      <c r="D93" s="15" t="s">
        <v>26</v>
      </c>
      <c r="E93" s="15" t="s">
        <v>26</v>
      </c>
      <c r="F93" s="15" t="s">
        <v>26</v>
      </c>
      <c r="G93" s="15" t="s">
        <v>26</v>
      </c>
      <c r="H93" s="15" t="s">
        <v>26</v>
      </c>
      <c r="I93" s="15" t="s">
        <v>26</v>
      </c>
      <c r="J93" s="15" t="s">
        <v>26</v>
      </c>
      <c r="K93" s="16"/>
      <c r="L93" s="16"/>
      <c r="M93" s="16"/>
      <c r="N93" s="16"/>
      <c r="O93" s="16"/>
      <c r="P93" s="16"/>
      <c r="Q93" s="16"/>
      <c r="R93" s="16"/>
      <c r="S93" s="17" t="n">
        <f aca="false">IFERROR(K93*460+L93*-560,0)</f>
        <v>0</v>
      </c>
    </row>
    <row r="94" customFormat="false" ht="19.5" hidden="false" customHeight="true" outlineLevel="0" collapsed="false">
      <c r="A94" s="22" t="s">
        <v>113</v>
      </c>
      <c r="B94" s="23" t="s">
        <v>28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5" t="n">
        <f aca="false">IFERROR(C94*460+D94*-560,0)+IFERROR(K94*460+L94*-560,0)</f>
        <v>0</v>
      </c>
    </row>
    <row r="95" customFormat="false" ht="19.5" hidden="false" customHeight="true" outlineLevel="0" collapsed="false">
      <c r="A95" s="22" t="s">
        <v>114</v>
      </c>
      <c r="B95" s="23" t="s">
        <v>17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5" t="n">
        <f aca="false">IFERROR(C95*460+D95*-560,0)+IFERROR(K95*460+L95*-560,0)</f>
        <v>0</v>
      </c>
    </row>
    <row r="96" customFormat="false" ht="19.5" hidden="false" customHeight="true" outlineLevel="0" collapsed="false">
      <c r="A96" s="22" t="s">
        <v>115</v>
      </c>
      <c r="B96" s="23" t="s">
        <v>19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5" t="n">
        <f aca="false">IFERROR(C96*460+D96*-560,0)+IFERROR(K96*460+L96*-560,0)</f>
        <v>0</v>
      </c>
    </row>
    <row r="97" customFormat="false" ht="19.5" hidden="false" customHeight="true" outlineLevel="0" collapsed="false">
      <c r="A97" s="22" t="s">
        <v>116</v>
      </c>
      <c r="B97" s="23" t="s">
        <v>21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5" t="n">
        <f aca="false">IFERROR(C97*460+D97*-560,0)+IFERROR(K97*460+L97*-560,0)</f>
        <v>0</v>
      </c>
    </row>
    <row r="98" customFormat="false" ht="19.5" hidden="false" customHeight="true" outlineLevel="0" collapsed="false">
      <c r="A98" s="22" t="s">
        <v>117</v>
      </c>
      <c r="B98" s="23" t="s">
        <v>23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5" t="n">
        <f aca="false">IFERROR(C98*460+D98*-560,0)+IFERROR(K98*460+L98*-560,0)</f>
        <v>0</v>
      </c>
    </row>
    <row r="99" customFormat="false" ht="19.5" hidden="false" customHeight="true" outlineLevel="0" collapsed="false">
      <c r="A99" s="13" t="s">
        <v>118</v>
      </c>
      <c r="B99" s="14" t="s">
        <v>25</v>
      </c>
      <c r="C99" s="15" t="s">
        <v>26</v>
      </c>
      <c r="D99" s="15" t="s">
        <v>26</v>
      </c>
      <c r="E99" s="15" t="s">
        <v>26</v>
      </c>
      <c r="F99" s="15" t="s">
        <v>26</v>
      </c>
      <c r="G99" s="15" t="s">
        <v>26</v>
      </c>
      <c r="H99" s="15" t="s">
        <v>26</v>
      </c>
      <c r="I99" s="15" t="s">
        <v>26</v>
      </c>
      <c r="J99" s="15" t="s">
        <v>26</v>
      </c>
      <c r="K99" s="16"/>
      <c r="L99" s="16"/>
      <c r="M99" s="16"/>
      <c r="N99" s="16"/>
      <c r="O99" s="16"/>
      <c r="P99" s="16"/>
      <c r="Q99" s="16"/>
      <c r="R99" s="16"/>
      <c r="S99" s="17" t="n">
        <f aca="false">IFERROR(K99*460+L99*-560,0)</f>
        <v>0</v>
      </c>
    </row>
    <row r="100" customFormat="false" ht="19.5" hidden="false" customHeight="true" outlineLevel="0" collapsed="false">
      <c r="A100" s="22" t="s">
        <v>119</v>
      </c>
      <c r="B100" s="23" t="s">
        <v>28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5" t="n">
        <f aca="false">IFERROR(C100*460+D100*-560,0)+IFERROR(K100*460+L100*-560,0)</f>
        <v>0</v>
      </c>
    </row>
    <row r="101" customFormat="false" ht="19.5" hidden="false" customHeight="true" outlineLevel="0" collapsed="false">
      <c r="A101" s="22" t="s">
        <v>120</v>
      </c>
      <c r="B101" s="23" t="s">
        <v>17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5" t="n">
        <f aca="false">IFERROR(C101*460+D101*-560,0)+IFERROR(K101*460+L101*-560,0)</f>
        <v>0</v>
      </c>
    </row>
    <row r="102" customFormat="false" ht="19.5" hidden="false" customHeight="true" outlineLevel="0" collapsed="false">
      <c r="A102" s="22" t="s">
        <v>121</v>
      </c>
      <c r="B102" s="23" t="s">
        <v>19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5" t="n">
        <f aca="false">IFERROR(C102*460+D102*-560,0)+IFERROR(K102*460+L102*-560,0)</f>
        <v>0</v>
      </c>
    </row>
    <row r="103" customFormat="false" ht="19.5" hidden="false" customHeight="true" outlineLevel="0" collapsed="false">
      <c r="A103" s="22" t="s">
        <v>122</v>
      </c>
      <c r="B103" s="23" t="s">
        <v>21</v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5" t="n">
        <f aca="false">IFERROR(C103*460+D103*-560,0)+IFERROR(K103*460+L103*-560,0)</f>
        <v>0</v>
      </c>
    </row>
    <row r="104" customFormat="false" ht="21.75" hidden="false" customHeight="true" outlineLevel="0" collapsed="false">
      <c r="A104" s="18" t="s">
        <v>123</v>
      </c>
      <c r="B104" s="19"/>
      <c r="C104" s="20" t="n">
        <f aca="false">SUM(C79:C103)</f>
        <v>0</v>
      </c>
      <c r="D104" s="20" t="n">
        <f aca="false">SUM(D79:D103)</f>
        <v>0</v>
      </c>
      <c r="E104" s="20" t="n">
        <f aca="false">SUM(E79:E103)</f>
        <v>0</v>
      </c>
      <c r="F104" s="20" t="n">
        <f aca="false">SUM(F79:F103)</f>
        <v>0</v>
      </c>
      <c r="G104" s="20" t="n">
        <f aca="false">SUM(G79:G103)</f>
        <v>0</v>
      </c>
      <c r="H104" s="20" t="n">
        <f aca="false">SUM(H79:H103)</f>
        <v>0</v>
      </c>
      <c r="I104" s="20" t="n">
        <f aca="false">SUM(I79:I103)</f>
        <v>0</v>
      </c>
      <c r="J104" s="19"/>
      <c r="K104" s="20" t="n">
        <f aca="false">SUM(K79:K103)</f>
        <v>0</v>
      </c>
      <c r="L104" s="20" t="n">
        <f aca="false">SUM(L79:L103)</f>
        <v>0</v>
      </c>
      <c r="M104" s="20" t="n">
        <f aca="false">SUM(M79:M103)</f>
        <v>0</v>
      </c>
      <c r="N104" s="20" t="n">
        <f aca="false">SUM(N79:N103)</f>
        <v>0</v>
      </c>
      <c r="O104" s="20" t="n">
        <f aca="false">SUM(O79:O103)</f>
        <v>0</v>
      </c>
      <c r="P104" s="20" t="n">
        <f aca="false">SUM(P79:P103)</f>
        <v>0</v>
      </c>
      <c r="Q104" s="20" t="n">
        <f aca="false">SUM(Q79:Q103)</f>
        <v>0</v>
      </c>
      <c r="R104" s="19"/>
      <c r="S104" s="21" t="n">
        <f aca="false">SUM(S79:S103)</f>
        <v>0</v>
      </c>
    </row>
    <row r="105" customFormat="false" ht="19.5" hidden="false" customHeight="true" outlineLevel="0" collapsed="false">
      <c r="A105" s="9" t="s">
        <v>124</v>
      </c>
      <c r="B105" s="10" t="s">
        <v>23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2" t="n">
        <f aca="false">IFERROR(C105*460+D105*-560,0)+IFERROR(K105*460+L105*-560,0)</f>
        <v>0</v>
      </c>
    </row>
    <row r="106" customFormat="false" ht="19.5" hidden="false" customHeight="true" outlineLevel="0" collapsed="false">
      <c r="A106" s="13" t="s">
        <v>125</v>
      </c>
      <c r="B106" s="14" t="s">
        <v>25</v>
      </c>
      <c r="C106" s="15" t="s">
        <v>26</v>
      </c>
      <c r="D106" s="15" t="s">
        <v>26</v>
      </c>
      <c r="E106" s="15" t="s">
        <v>26</v>
      </c>
      <c r="F106" s="15" t="s">
        <v>26</v>
      </c>
      <c r="G106" s="15" t="s">
        <v>26</v>
      </c>
      <c r="H106" s="15" t="s">
        <v>26</v>
      </c>
      <c r="I106" s="15" t="s">
        <v>26</v>
      </c>
      <c r="J106" s="15" t="s">
        <v>26</v>
      </c>
      <c r="K106" s="16"/>
      <c r="L106" s="16"/>
      <c r="M106" s="16"/>
      <c r="N106" s="16"/>
      <c r="O106" s="16"/>
      <c r="P106" s="16"/>
      <c r="Q106" s="16"/>
      <c r="R106" s="16"/>
      <c r="S106" s="17" t="n">
        <f aca="false">IFERROR(K106*460+L106*-560,0)</f>
        <v>0</v>
      </c>
    </row>
    <row r="107" customFormat="false" ht="19.5" hidden="false" customHeight="true" outlineLevel="0" collapsed="false">
      <c r="A107" s="9" t="s">
        <v>126</v>
      </c>
      <c r="B107" s="10" t="s">
        <v>28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2" t="n">
        <f aca="false">IFERROR(C107*460+D107*-560,0)+IFERROR(K107*460+L107*-560,0)</f>
        <v>0</v>
      </c>
    </row>
    <row r="108" customFormat="false" ht="19.5" hidden="false" customHeight="true" outlineLevel="0" collapsed="false">
      <c r="A108" s="9" t="s">
        <v>127</v>
      </c>
      <c r="B108" s="10" t="s">
        <v>17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2" t="n">
        <f aca="false">IFERROR(C108*460+D108*-560,0)+IFERROR(K108*460+L108*-560,0)</f>
        <v>0</v>
      </c>
    </row>
    <row r="109" customFormat="false" ht="19.5" hidden="false" customHeight="true" outlineLevel="0" collapsed="false">
      <c r="A109" s="9" t="s">
        <v>128</v>
      </c>
      <c r="B109" s="10" t="s">
        <v>19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2" t="n">
        <f aca="false">IFERROR(C109*460+D109*-560,0)+IFERROR(K109*460+L109*-560,0)</f>
        <v>0</v>
      </c>
    </row>
    <row r="110" customFormat="false" ht="19.5" hidden="false" customHeight="true" outlineLevel="0" collapsed="false">
      <c r="A110" s="9" t="s">
        <v>129</v>
      </c>
      <c r="B110" s="10" t="s">
        <v>21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2" t="n">
        <f aca="false">IFERROR(C110*460+D110*-560,0)+IFERROR(K110*460+L110*-560,0)</f>
        <v>0</v>
      </c>
    </row>
    <row r="111" customFormat="false" ht="19.5" hidden="false" customHeight="true" outlineLevel="0" collapsed="false">
      <c r="A111" s="9" t="s">
        <v>130</v>
      </c>
      <c r="B111" s="10" t="s">
        <v>23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2" t="n">
        <f aca="false">IFERROR(C111*460+D111*-560,0)+IFERROR(K111*460+L111*-560,0)</f>
        <v>0</v>
      </c>
    </row>
    <row r="112" customFormat="false" ht="19.5" hidden="false" customHeight="true" outlineLevel="0" collapsed="false">
      <c r="A112" s="13" t="s">
        <v>131</v>
      </c>
      <c r="B112" s="14" t="s">
        <v>25</v>
      </c>
      <c r="C112" s="15" t="s">
        <v>26</v>
      </c>
      <c r="D112" s="15" t="s">
        <v>26</v>
      </c>
      <c r="E112" s="15" t="s">
        <v>26</v>
      </c>
      <c r="F112" s="15" t="s">
        <v>26</v>
      </c>
      <c r="G112" s="15" t="s">
        <v>26</v>
      </c>
      <c r="H112" s="15" t="s">
        <v>26</v>
      </c>
      <c r="I112" s="15" t="s">
        <v>26</v>
      </c>
      <c r="J112" s="15" t="s">
        <v>26</v>
      </c>
      <c r="K112" s="16"/>
      <c r="L112" s="16"/>
      <c r="M112" s="16"/>
      <c r="N112" s="16"/>
      <c r="O112" s="16"/>
      <c r="P112" s="16"/>
      <c r="Q112" s="16"/>
      <c r="R112" s="16"/>
      <c r="S112" s="17" t="n">
        <f aca="false">IFERROR(K112*460+L112*-560,0)</f>
        <v>0</v>
      </c>
    </row>
    <row r="113" customFormat="false" ht="19.5" hidden="false" customHeight="true" outlineLevel="0" collapsed="false">
      <c r="A113" s="9" t="s">
        <v>132</v>
      </c>
      <c r="B113" s="10" t="s">
        <v>28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2" t="n">
        <f aca="false">IFERROR(C113*460+D113*-560,0)+IFERROR(K113*460+L113*-560,0)</f>
        <v>0</v>
      </c>
    </row>
    <row r="114" customFormat="false" ht="19.5" hidden="false" customHeight="true" outlineLevel="0" collapsed="false">
      <c r="A114" s="9" t="s">
        <v>133</v>
      </c>
      <c r="B114" s="10" t="s">
        <v>17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2" t="n">
        <f aca="false">IFERROR(C114*460+D114*-560,0)+IFERROR(K114*460+L114*-560,0)</f>
        <v>0</v>
      </c>
    </row>
    <row r="115" customFormat="false" ht="19.5" hidden="false" customHeight="true" outlineLevel="0" collapsed="false">
      <c r="A115" s="9" t="s">
        <v>134</v>
      </c>
      <c r="B115" s="10" t="s">
        <v>19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2" t="n">
        <f aca="false">IFERROR(C115*460+D115*-560,0)+IFERROR(K115*460+L115*-560,0)</f>
        <v>0</v>
      </c>
    </row>
    <row r="116" customFormat="false" ht="19.5" hidden="false" customHeight="true" outlineLevel="0" collapsed="false">
      <c r="A116" s="9" t="s">
        <v>135</v>
      </c>
      <c r="B116" s="10" t="s">
        <v>21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2" t="n">
        <f aca="false">IFERROR(C116*460+D116*-560,0)+IFERROR(K116*460+L116*-560,0)</f>
        <v>0</v>
      </c>
    </row>
    <row r="117" customFormat="false" ht="19.5" hidden="false" customHeight="true" outlineLevel="0" collapsed="false">
      <c r="A117" s="9" t="s">
        <v>136</v>
      </c>
      <c r="B117" s="10" t="s">
        <v>23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2" t="n">
        <f aca="false">IFERROR(C117*460+D117*-560,0)+IFERROR(K117*460+L117*-560,0)</f>
        <v>0</v>
      </c>
    </row>
    <row r="118" customFormat="false" ht="19.5" hidden="false" customHeight="true" outlineLevel="0" collapsed="false">
      <c r="A118" s="13" t="s">
        <v>137</v>
      </c>
      <c r="B118" s="14" t="s">
        <v>25</v>
      </c>
      <c r="C118" s="15" t="s">
        <v>26</v>
      </c>
      <c r="D118" s="15" t="s">
        <v>26</v>
      </c>
      <c r="E118" s="15" t="s">
        <v>26</v>
      </c>
      <c r="F118" s="15" t="s">
        <v>26</v>
      </c>
      <c r="G118" s="15" t="s">
        <v>26</v>
      </c>
      <c r="H118" s="15" t="s">
        <v>26</v>
      </c>
      <c r="I118" s="15" t="s">
        <v>26</v>
      </c>
      <c r="J118" s="15" t="s">
        <v>26</v>
      </c>
      <c r="K118" s="16"/>
      <c r="L118" s="16"/>
      <c r="M118" s="16"/>
      <c r="N118" s="16"/>
      <c r="O118" s="16"/>
      <c r="P118" s="16"/>
      <c r="Q118" s="16"/>
      <c r="R118" s="16"/>
      <c r="S118" s="17" t="n">
        <f aca="false">IFERROR(K118*460+L118*-560,0)</f>
        <v>0</v>
      </c>
    </row>
    <row r="119" customFormat="false" ht="19.5" hidden="false" customHeight="true" outlineLevel="0" collapsed="false">
      <c r="A119" s="9" t="s">
        <v>138</v>
      </c>
      <c r="B119" s="10" t="s">
        <v>28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2" t="n">
        <f aca="false">IFERROR(C119*460+D119*-560,0)+IFERROR(K119*460+L119*-560,0)</f>
        <v>0</v>
      </c>
    </row>
    <row r="120" customFormat="false" ht="19.5" hidden="false" customHeight="true" outlineLevel="0" collapsed="false">
      <c r="A120" s="9" t="s">
        <v>139</v>
      </c>
      <c r="B120" s="10" t="s">
        <v>17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2" t="n">
        <f aca="false">IFERROR(C120*460+D120*-560,0)+IFERROR(K120*460+L120*-560,0)</f>
        <v>0</v>
      </c>
    </row>
    <row r="121" customFormat="false" ht="19.5" hidden="false" customHeight="true" outlineLevel="0" collapsed="false">
      <c r="A121" s="9" t="s">
        <v>140</v>
      </c>
      <c r="B121" s="10" t="s">
        <v>19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2" t="n">
        <f aca="false">IFERROR(C121*460+D121*-560,0)+IFERROR(K121*460+L121*-560,0)</f>
        <v>0</v>
      </c>
    </row>
    <row r="122" customFormat="false" ht="19.5" hidden="false" customHeight="true" outlineLevel="0" collapsed="false">
      <c r="A122" s="9" t="s">
        <v>141</v>
      </c>
      <c r="B122" s="10" t="s">
        <v>21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2" t="n">
        <f aca="false">IFERROR(C122*460+D122*-560,0)+IFERROR(K122*460+L122*-560,0)</f>
        <v>0</v>
      </c>
    </row>
    <row r="123" customFormat="false" ht="19.5" hidden="false" customHeight="true" outlineLevel="0" collapsed="false">
      <c r="A123" s="9" t="s">
        <v>142</v>
      </c>
      <c r="B123" s="10" t="s">
        <v>23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2" t="n">
        <f aca="false">IFERROR(C123*460+D123*-560,0)+IFERROR(K123*460+L123*-560,0)</f>
        <v>0</v>
      </c>
    </row>
    <row r="124" customFormat="false" ht="19.5" hidden="false" customHeight="true" outlineLevel="0" collapsed="false">
      <c r="A124" s="13" t="s">
        <v>143</v>
      </c>
      <c r="B124" s="14" t="s">
        <v>25</v>
      </c>
      <c r="C124" s="15" t="s">
        <v>26</v>
      </c>
      <c r="D124" s="15" t="s">
        <v>26</v>
      </c>
      <c r="E124" s="15" t="s">
        <v>26</v>
      </c>
      <c r="F124" s="15" t="s">
        <v>26</v>
      </c>
      <c r="G124" s="15" t="s">
        <v>26</v>
      </c>
      <c r="H124" s="15" t="s">
        <v>26</v>
      </c>
      <c r="I124" s="15" t="s">
        <v>26</v>
      </c>
      <c r="J124" s="15" t="s">
        <v>26</v>
      </c>
      <c r="K124" s="16"/>
      <c r="L124" s="16"/>
      <c r="M124" s="16"/>
      <c r="N124" s="16"/>
      <c r="O124" s="16"/>
      <c r="P124" s="16"/>
      <c r="Q124" s="16"/>
      <c r="R124" s="16"/>
      <c r="S124" s="17" t="n">
        <f aca="false">IFERROR(K124*460+L124*-560,0)</f>
        <v>0</v>
      </c>
    </row>
    <row r="125" customFormat="false" ht="19.5" hidden="false" customHeight="true" outlineLevel="0" collapsed="false">
      <c r="A125" s="9" t="s">
        <v>144</v>
      </c>
      <c r="B125" s="10" t="s">
        <v>17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2" t="n">
        <f aca="false">IFERROR(C125*460+D125*-560,0)+IFERROR(K125*460+L125*-560,0)</f>
        <v>0</v>
      </c>
    </row>
    <row r="126" customFormat="false" ht="19.5" hidden="false" customHeight="true" outlineLevel="0" collapsed="false">
      <c r="A126" s="9" t="s">
        <v>145</v>
      </c>
      <c r="B126" s="10" t="s">
        <v>19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2" t="n">
        <f aca="false">IFERROR(C126*460+D126*-560,0)+IFERROR(K126*460+L126*-560,0)</f>
        <v>0</v>
      </c>
    </row>
    <row r="127" customFormat="false" ht="19.5" hidden="false" customHeight="true" outlineLevel="0" collapsed="false">
      <c r="A127" s="9" t="s">
        <v>146</v>
      </c>
      <c r="B127" s="10" t="s">
        <v>21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2" t="n">
        <f aca="false">IFERROR(C127*460+D127*-560,0)+IFERROR(K127*460+L127*-560,0)</f>
        <v>0</v>
      </c>
    </row>
    <row r="128" customFormat="false" ht="19.5" hidden="false" customHeight="true" outlineLevel="0" collapsed="false">
      <c r="A128" s="9" t="s">
        <v>147</v>
      </c>
      <c r="B128" s="10" t="s">
        <v>23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2" t="n">
        <f aca="false">IFERROR(C128*460+D128*-560,0)+IFERROR(K128*460+L128*-560,0)</f>
        <v>0</v>
      </c>
    </row>
    <row r="129" customFormat="false" ht="19.5" hidden="false" customHeight="true" outlineLevel="0" collapsed="false">
      <c r="A129" s="13" t="s">
        <v>148</v>
      </c>
      <c r="B129" s="14" t="s">
        <v>25</v>
      </c>
      <c r="C129" s="15" t="s">
        <v>26</v>
      </c>
      <c r="D129" s="15" t="s">
        <v>26</v>
      </c>
      <c r="E129" s="15" t="s">
        <v>26</v>
      </c>
      <c r="F129" s="15" t="s">
        <v>26</v>
      </c>
      <c r="G129" s="15" t="s">
        <v>26</v>
      </c>
      <c r="H129" s="15" t="s">
        <v>26</v>
      </c>
      <c r="I129" s="15" t="s">
        <v>26</v>
      </c>
      <c r="J129" s="15" t="s">
        <v>26</v>
      </c>
      <c r="K129" s="16"/>
      <c r="L129" s="16"/>
      <c r="M129" s="16"/>
      <c r="N129" s="16"/>
      <c r="O129" s="16"/>
      <c r="P129" s="16"/>
      <c r="Q129" s="16"/>
      <c r="R129" s="16"/>
      <c r="S129" s="17" t="n">
        <f aca="false">IFERROR(K129*460+L129*-560,0)</f>
        <v>0</v>
      </c>
    </row>
    <row r="130" customFormat="false" ht="21.75" hidden="false" customHeight="true" outlineLevel="0" collapsed="false">
      <c r="A130" s="18" t="s">
        <v>149</v>
      </c>
      <c r="B130" s="19"/>
      <c r="C130" s="20" t="n">
        <f aca="false">SUM(C105:C129)</f>
        <v>0</v>
      </c>
      <c r="D130" s="20" t="n">
        <f aca="false">SUM(D105:D129)</f>
        <v>0</v>
      </c>
      <c r="E130" s="20" t="n">
        <f aca="false">SUM(E105:E129)</f>
        <v>0</v>
      </c>
      <c r="F130" s="20" t="n">
        <f aca="false">SUM(F105:F129)</f>
        <v>0</v>
      </c>
      <c r="G130" s="20" t="n">
        <f aca="false">SUM(G105:G129)</f>
        <v>0</v>
      </c>
      <c r="H130" s="20" t="n">
        <f aca="false">SUM(H105:H129)</f>
        <v>0</v>
      </c>
      <c r="I130" s="20" t="n">
        <f aca="false">SUM(I105:I129)</f>
        <v>0</v>
      </c>
      <c r="J130" s="19"/>
      <c r="K130" s="20" t="n">
        <f aca="false">SUM(K105:K129)</f>
        <v>0</v>
      </c>
      <c r="L130" s="20" t="n">
        <f aca="false">SUM(L105:L129)</f>
        <v>0</v>
      </c>
      <c r="M130" s="20" t="n">
        <f aca="false">SUM(M105:M129)</f>
        <v>0</v>
      </c>
      <c r="N130" s="20" t="n">
        <f aca="false">SUM(N105:N129)</f>
        <v>0</v>
      </c>
      <c r="O130" s="20" t="n">
        <f aca="false">SUM(O105:O129)</f>
        <v>0</v>
      </c>
      <c r="P130" s="20" t="n">
        <f aca="false">SUM(P105:P129)</f>
        <v>0</v>
      </c>
      <c r="Q130" s="20" t="n">
        <f aca="false">SUM(Q105:Q129)</f>
        <v>0</v>
      </c>
      <c r="R130" s="19"/>
      <c r="S130" s="21" t="n">
        <f aca="false">SUM(S105:S129)</f>
        <v>0</v>
      </c>
    </row>
    <row r="131" customFormat="false" ht="19.5" hidden="false" customHeight="true" outlineLevel="0" collapsed="false">
      <c r="A131" s="22" t="s">
        <v>150</v>
      </c>
      <c r="B131" s="23" t="s">
        <v>28</v>
      </c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5" t="n">
        <f aca="false">IFERROR(C131*460+D131*-560,0)+IFERROR(K131*460+L131*-560,0)</f>
        <v>0</v>
      </c>
    </row>
    <row r="132" customFormat="false" ht="19.5" hidden="false" customHeight="true" outlineLevel="0" collapsed="false">
      <c r="A132" s="22" t="s">
        <v>151</v>
      </c>
      <c r="B132" s="23" t="s">
        <v>17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5" t="n">
        <f aca="false">IFERROR(C132*460+D132*-560,0)+IFERROR(K132*460+L132*-560,0)</f>
        <v>0</v>
      </c>
    </row>
    <row r="133" customFormat="false" ht="19.5" hidden="false" customHeight="true" outlineLevel="0" collapsed="false">
      <c r="A133" s="22" t="s">
        <v>152</v>
      </c>
      <c r="B133" s="23" t="s">
        <v>19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5" t="n">
        <f aca="false">IFERROR(C133*460+D133*-560,0)+IFERROR(K133*460+L133*-560,0)</f>
        <v>0</v>
      </c>
    </row>
    <row r="134" customFormat="false" ht="19.5" hidden="false" customHeight="true" outlineLevel="0" collapsed="false">
      <c r="A134" s="22" t="s">
        <v>153</v>
      </c>
      <c r="B134" s="23" t="s">
        <v>21</v>
      </c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5" t="n">
        <f aca="false">IFERROR(C134*460+D134*-560,0)+IFERROR(K134*460+L134*-560,0)</f>
        <v>0</v>
      </c>
    </row>
    <row r="135" customFormat="false" ht="19.5" hidden="false" customHeight="true" outlineLevel="0" collapsed="false">
      <c r="A135" s="22" t="s">
        <v>154</v>
      </c>
      <c r="B135" s="23" t="s">
        <v>23</v>
      </c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5" t="n">
        <f aca="false">IFERROR(C135*460+D135*-560,0)+IFERROR(K135*460+L135*-560,0)</f>
        <v>0</v>
      </c>
    </row>
    <row r="136" customFormat="false" ht="19.5" hidden="false" customHeight="true" outlineLevel="0" collapsed="false">
      <c r="A136" s="13" t="s">
        <v>155</v>
      </c>
      <c r="B136" s="14" t="s">
        <v>25</v>
      </c>
      <c r="C136" s="15" t="s">
        <v>26</v>
      </c>
      <c r="D136" s="15" t="s">
        <v>26</v>
      </c>
      <c r="E136" s="15" t="s">
        <v>26</v>
      </c>
      <c r="F136" s="15" t="s">
        <v>26</v>
      </c>
      <c r="G136" s="15" t="s">
        <v>26</v>
      </c>
      <c r="H136" s="15" t="s">
        <v>26</v>
      </c>
      <c r="I136" s="15" t="s">
        <v>26</v>
      </c>
      <c r="J136" s="15" t="s">
        <v>26</v>
      </c>
      <c r="K136" s="16"/>
      <c r="L136" s="16"/>
      <c r="M136" s="16"/>
      <c r="N136" s="16"/>
      <c r="O136" s="16"/>
      <c r="P136" s="16"/>
      <c r="Q136" s="16"/>
      <c r="R136" s="16"/>
      <c r="S136" s="17" t="n">
        <f aca="false">IFERROR(K136*460+L136*-560,0)</f>
        <v>0</v>
      </c>
    </row>
    <row r="137" customFormat="false" ht="19.5" hidden="false" customHeight="true" outlineLevel="0" collapsed="false">
      <c r="A137" s="22" t="s">
        <v>156</v>
      </c>
      <c r="B137" s="23" t="s">
        <v>28</v>
      </c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5" t="n">
        <f aca="false">IFERROR(C137*460+D137*-560,0)+IFERROR(K137*460+L137*-560,0)</f>
        <v>0</v>
      </c>
    </row>
    <row r="138" customFormat="false" ht="19.5" hidden="false" customHeight="true" outlineLevel="0" collapsed="false">
      <c r="A138" s="22" t="s">
        <v>157</v>
      </c>
      <c r="B138" s="23" t="s">
        <v>17</v>
      </c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5" t="n">
        <f aca="false">IFERROR(C138*460+D138*-560,0)+IFERROR(K138*460+L138*-560,0)</f>
        <v>0</v>
      </c>
    </row>
    <row r="139" customFormat="false" ht="19.5" hidden="false" customHeight="true" outlineLevel="0" collapsed="false">
      <c r="A139" s="22" t="s">
        <v>158</v>
      </c>
      <c r="B139" s="23" t="s">
        <v>19</v>
      </c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5" t="n">
        <f aca="false">IFERROR(C139*460+D139*-560,0)+IFERROR(K139*460+L139*-560,0)</f>
        <v>0</v>
      </c>
    </row>
    <row r="140" customFormat="false" ht="19.5" hidden="false" customHeight="true" outlineLevel="0" collapsed="false">
      <c r="A140" s="22" t="s">
        <v>159</v>
      </c>
      <c r="B140" s="23" t="s">
        <v>21</v>
      </c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5" t="n">
        <f aca="false">IFERROR(C140*460+D140*-560,0)+IFERROR(K140*460+L140*-560,0)</f>
        <v>0</v>
      </c>
    </row>
    <row r="141" customFormat="false" ht="19.5" hidden="false" customHeight="true" outlineLevel="0" collapsed="false">
      <c r="A141" s="22" t="s">
        <v>160</v>
      </c>
      <c r="B141" s="23" t="s">
        <v>23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5" t="n">
        <f aca="false">IFERROR(C141*460+D141*-560,0)+IFERROR(K141*460+L141*-560,0)</f>
        <v>0</v>
      </c>
    </row>
    <row r="142" customFormat="false" ht="19.5" hidden="false" customHeight="true" outlineLevel="0" collapsed="false">
      <c r="A142" s="13" t="s">
        <v>161</v>
      </c>
      <c r="B142" s="14" t="s">
        <v>25</v>
      </c>
      <c r="C142" s="15" t="s">
        <v>26</v>
      </c>
      <c r="D142" s="15" t="s">
        <v>26</v>
      </c>
      <c r="E142" s="15" t="s">
        <v>26</v>
      </c>
      <c r="F142" s="15" t="s">
        <v>26</v>
      </c>
      <c r="G142" s="15" t="s">
        <v>26</v>
      </c>
      <c r="H142" s="15" t="s">
        <v>26</v>
      </c>
      <c r="I142" s="15" t="s">
        <v>26</v>
      </c>
      <c r="J142" s="15" t="s">
        <v>26</v>
      </c>
      <c r="K142" s="16"/>
      <c r="L142" s="16"/>
      <c r="M142" s="16"/>
      <c r="N142" s="16"/>
      <c r="O142" s="16"/>
      <c r="P142" s="16"/>
      <c r="Q142" s="16"/>
      <c r="R142" s="16"/>
      <c r="S142" s="17" t="n">
        <f aca="false">IFERROR(K142*460+L142*-560,0)</f>
        <v>0</v>
      </c>
    </row>
    <row r="143" customFormat="false" ht="19.5" hidden="false" customHeight="true" outlineLevel="0" collapsed="false">
      <c r="A143" s="22" t="s">
        <v>162</v>
      </c>
      <c r="B143" s="23" t="s">
        <v>28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5" t="n">
        <f aca="false">IFERROR(C143*460+D143*-560,0)+IFERROR(K143*460+L143*-560,0)</f>
        <v>0</v>
      </c>
    </row>
    <row r="144" customFormat="false" ht="19.5" hidden="false" customHeight="true" outlineLevel="0" collapsed="false">
      <c r="A144" s="22" t="s">
        <v>163</v>
      </c>
      <c r="B144" s="23" t="s">
        <v>17</v>
      </c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5" t="n">
        <f aca="false">IFERROR(C144*460+D144*-560,0)+IFERROR(K144*460+L144*-560,0)</f>
        <v>0</v>
      </c>
    </row>
    <row r="145" customFormat="false" ht="19.5" hidden="false" customHeight="true" outlineLevel="0" collapsed="false">
      <c r="A145" s="22" t="s">
        <v>164</v>
      </c>
      <c r="B145" s="23" t="s">
        <v>19</v>
      </c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5" t="n">
        <f aca="false">IFERROR(C145*460+D145*-560,0)+IFERROR(K145*460+L145*-560,0)</f>
        <v>0</v>
      </c>
    </row>
    <row r="146" customFormat="false" ht="19.5" hidden="false" customHeight="true" outlineLevel="0" collapsed="false">
      <c r="A146" s="22" t="s">
        <v>165</v>
      </c>
      <c r="B146" s="23" t="s">
        <v>21</v>
      </c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5" t="n">
        <f aca="false">IFERROR(C146*460+D146*-560,0)+IFERROR(K146*460+L146*-560,0)</f>
        <v>0</v>
      </c>
    </row>
    <row r="147" customFormat="false" ht="19.5" hidden="false" customHeight="true" outlineLevel="0" collapsed="false">
      <c r="A147" s="22" t="s">
        <v>166</v>
      </c>
      <c r="B147" s="23" t="s">
        <v>23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5" t="n">
        <f aca="false">IFERROR(C147*460+D147*-560,0)+IFERROR(K147*460+L147*-560,0)</f>
        <v>0</v>
      </c>
    </row>
    <row r="148" customFormat="false" ht="19.5" hidden="false" customHeight="true" outlineLevel="0" collapsed="false">
      <c r="A148" s="13" t="s">
        <v>167</v>
      </c>
      <c r="B148" s="14" t="s">
        <v>25</v>
      </c>
      <c r="C148" s="15" t="s">
        <v>26</v>
      </c>
      <c r="D148" s="15" t="s">
        <v>26</v>
      </c>
      <c r="E148" s="15" t="s">
        <v>26</v>
      </c>
      <c r="F148" s="15" t="s">
        <v>26</v>
      </c>
      <c r="G148" s="15" t="s">
        <v>26</v>
      </c>
      <c r="H148" s="15" t="s">
        <v>26</v>
      </c>
      <c r="I148" s="15" t="s">
        <v>26</v>
      </c>
      <c r="J148" s="15" t="s">
        <v>26</v>
      </c>
      <c r="K148" s="16"/>
      <c r="L148" s="16"/>
      <c r="M148" s="16"/>
      <c r="N148" s="16"/>
      <c r="O148" s="16"/>
      <c r="P148" s="16"/>
      <c r="Q148" s="16"/>
      <c r="R148" s="16"/>
      <c r="S148" s="17" t="n">
        <f aca="false">IFERROR(K148*460+L148*-560,0)</f>
        <v>0</v>
      </c>
    </row>
    <row r="149" customFormat="false" ht="19.5" hidden="false" customHeight="true" outlineLevel="0" collapsed="false">
      <c r="A149" s="22" t="s">
        <v>168</v>
      </c>
      <c r="B149" s="23" t="s">
        <v>28</v>
      </c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5" t="n">
        <f aca="false">IFERROR(C149*460+D149*-560,0)+IFERROR(K149*460+L149*-560,0)</f>
        <v>0</v>
      </c>
    </row>
    <row r="150" customFormat="false" ht="19.5" hidden="false" customHeight="true" outlineLevel="0" collapsed="false">
      <c r="A150" s="22" t="s">
        <v>169</v>
      </c>
      <c r="B150" s="23" t="s">
        <v>17</v>
      </c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5" t="n">
        <f aca="false">IFERROR(C150*460+D150*-560,0)+IFERROR(K150*460+L150*-560,0)</f>
        <v>0</v>
      </c>
    </row>
    <row r="151" customFormat="false" ht="19.5" hidden="false" customHeight="true" outlineLevel="0" collapsed="false">
      <c r="A151" s="22" t="s">
        <v>170</v>
      </c>
      <c r="B151" s="23" t="s">
        <v>19</v>
      </c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5" t="n">
        <f aca="false">IFERROR(C151*460+D151*-560,0)+IFERROR(K151*460+L151*-560,0)</f>
        <v>0</v>
      </c>
    </row>
    <row r="152" customFormat="false" ht="19.5" hidden="false" customHeight="true" outlineLevel="0" collapsed="false">
      <c r="A152" s="22" t="s">
        <v>171</v>
      </c>
      <c r="B152" s="23" t="s">
        <v>21</v>
      </c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5" t="n">
        <f aca="false">IFERROR(C152*460+D152*-560,0)+IFERROR(K152*460+L152*-560,0)</f>
        <v>0</v>
      </c>
    </row>
    <row r="153" customFormat="false" ht="19.5" hidden="false" customHeight="true" outlineLevel="0" collapsed="false">
      <c r="A153" s="22" t="s">
        <v>172</v>
      </c>
      <c r="B153" s="23" t="s">
        <v>23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5" t="n">
        <f aca="false">IFERROR(C153*460+D153*-560,0)+IFERROR(K153*460+L153*-560,0)</f>
        <v>0</v>
      </c>
    </row>
    <row r="154" customFormat="false" ht="19.5" hidden="false" customHeight="true" outlineLevel="0" collapsed="false">
      <c r="A154" s="13" t="s">
        <v>173</v>
      </c>
      <c r="B154" s="14" t="s">
        <v>25</v>
      </c>
      <c r="C154" s="15" t="s">
        <v>26</v>
      </c>
      <c r="D154" s="15" t="s">
        <v>26</v>
      </c>
      <c r="E154" s="15" t="s">
        <v>26</v>
      </c>
      <c r="F154" s="15" t="s">
        <v>26</v>
      </c>
      <c r="G154" s="15" t="s">
        <v>26</v>
      </c>
      <c r="H154" s="15" t="s">
        <v>26</v>
      </c>
      <c r="I154" s="15" t="s">
        <v>26</v>
      </c>
      <c r="J154" s="15" t="s">
        <v>26</v>
      </c>
      <c r="K154" s="16"/>
      <c r="L154" s="16"/>
      <c r="M154" s="16"/>
      <c r="N154" s="16"/>
      <c r="O154" s="16"/>
      <c r="P154" s="16"/>
      <c r="Q154" s="16"/>
      <c r="R154" s="16"/>
      <c r="S154" s="17" t="n">
        <f aca="false">IFERROR(K154*460+L154*-560,0)</f>
        <v>0</v>
      </c>
    </row>
    <row r="155" customFormat="false" ht="19.5" hidden="false" customHeight="true" outlineLevel="0" collapsed="false">
      <c r="A155" s="22" t="s">
        <v>174</v>
      </c>
      <c r="B155" s="23" t="s">
        <v>28</v>
      </c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5" t="n">
        <f aca="false">IFERROR(C155*460+D155*-560,0)+IFERROR(K155*460+L155*-560,0)</f>
        <v>0</v>
      </c>
    </row>
    <row r="156" customFormat="false" ht="19.5" hidden="false" customHeight="true" outlineLevel="0" collapsed="false">
      <c r="A156" s="22" t="s">
        <v>175</v>
      </c>
      <c r="B156" s="23" t="s">
        <v>17</v>
      </c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5" t="n">
        <f aca="false">IFERROR(C156*460+D156*-560,0)+IFERROR(K156*460+L156*-560,0)</f>
        <v>0</v>
      </c>
    </row>
    <row r="157" customFormat="false" ht="21.75" hidden="false" customHeight="true" outlineLevel="0" collapsed="false">
      <c r="A157" s="18" t="s">
        <v>176</v>
      </c>
      <c r="B157" s="19"/>
      <c r="C157" s="20" t="n">
        <f aca="false">SUM(C131:C156)</f>
        <v>0</v>
      </c>
      <c r="D157" s="20" t="n">
        <f aca="false">SUM(D131:D156)</f>
        <v>0</v>
      </c>
      <c r="E157" s="20" t="n">
        <f aca="false">SUM(E131:E156)</f>
        <v>0</v>
      </c>
      <c r="F157" s="20" t="n">
        <f aca="false">SUM(F131:F156)</f>
        <v>0</v>
      </c>
      <c r="G157" s="20" t="n">
        <f aca="false">SUM(G131:G156)</f>
        <v>0</v>
      </c>
      <c r="H157" s="20" t="n">
        <f aca="false">SUM(H131:H156)</f>
        <v>0</v>
      </c>
      <c r="I157" s="20" t="n">
        <f aca="false">SUM(I131:I156)</f>
        <v>0</v>
      </c>
      <c r="J157" s="19"/>
      <c r="K157" s="20" t="n">
        <f aca="false">SUM(K131:K156)</f>
        <v>0</v>
      </c>
      <c r="L157" s="20" t="n">
        <f aca="false">SUM(L131:L156)</f>
        <v>0</v>
      </c>
      <c r="M157" s="20" t="n">
        <f aca="false">SUM(M131:M156)</f>
        <v>0</v>
      </c>
      <c r="N157" s="20" t="n">
        <f aca="false">SUM(N131:N156)</f>
        <v>0</v>
      </c>
      <c r="O157" s="20" t="n">
        <f aca="false">SUM(O131:O156)</f>
        <v>0</v>
      </c>
      <c r="P157" s="20" t="n">
        <f aca="false">SUM(P131:P156)</f>
        <v>0</v>
      </c>
      <c r="Q157" s="20" t="n">
        <f aca="false">SUM(Q131:Q156)</f>
        <v>0</v>
      </c>
      <c r="R157" s="19"/>
      <c r="S157" s="21" t="n">
        <f aca="false">SUM(S131:S156)</f>
        <v>0</v>
      </c>
    </row>
    <row r="158" customFormat="false" ht="19.5" hidden="false" customHeight="true" outlineLevel="0" collapsed="false">
      <c r="A158" s="9" t="s">
        <v>177</v>
      </c>
      <c r="B158" s="10" t="s">
        <v>19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2" t="n">
        <f aca="false">IFERROR(C158*460+D158*-560,0)+IFERROR(K158*460+L158*-560,0)</f>
        <v>0</v>
      </c>
    </row>
    <row r="159" customFormat="false" ht="19.5" hidden="false" customHeight="true" outlineLevel="0" collapsed="false">
      <c r="A159" s="9" t="s">
        <v>178</v>
      </c>
      <c r="B159" s="10" t="s">
        <v>21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2" t="n">
        <f aca="false">IFERROR(C159*460+D159*-560,0)+IFERROR(K159*460+L159*-560,0)</f>
        <v>0</v>
      </c>
    </row>
    <row r="160" customFormat="false" ht="24" hidden="false" customHeight="true" outlineLevel="0" collapsed="false">
      <c r="A160" s="13" t="s">
        <v>179</v>
      </c>
      <c r="B160" s="13"/>
      <c r="C160" s="15" t="s">
        <v>26</v>
      </c>
      <c r="D160" s="15" t="s">
        <v>26</v>
      </c>
      <c r="E160" s="15" t="s">
        <v>26</v>
      </c>
      <c r="F160" s="15" t="s">
        <v>26</v>
      </c>
      <c r="G160" s="15" t="s">
        <v>26</v>
      </c>
      <c r="H160" s="15" t="s">
        <v>26</v>
      </c>
      <c r="I160" s="15" t="s">
        <v>26</v>
      </c>
      <c r="J160" s="15" t="s">
        <v>26</v>
      </c>
      <c r="K160" s="16"/>
      <c r="L160" s="16"/>
      <c r="M160" s="16"/>
      <c r="N160" s="16"/>
      <c r="O160" s="16"/>
      <c r="P160" s="16"/>
      <c r="Q160" s="16"/>
      <c r="R160" s="16"/>
      <c r="S160" s="17" t="n">
        <f aca="false">IFERROR(C160*460+D160*-560,0)+IFERROR(K160*460+L160*-560,0)</f>
        <v>0</v>
      </c>
    </row>
    <row r="161" customFormat="false" ht="15" hidden="false" customHeight="true" outlineLevel="0" collapsed="false">
      <c r="A161" s="9" t="s">
        <v>180</v>
      </c>
      <c r="B161" s="10" t="s">
        <v>28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2" t="n">
        <f aca="false">IFERROR(C161*460+D161*-560,0)+IFERROR(K161*460+L161*-560,0)</f>
        <v>0</v>
      </c>
    </row>
    <row r="162" customFormat="false" ht="15" hidden="false" customHeight="true" outlineLevel="0" collapsed="false">
      <c r="A162" s="9" t="s">
        <v>181</v>
      </c>
      <c r="B162" s="10" t="s">
        <v>17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2" t="n">
        <f aca="false">IFERROR(C162*460+D162*-560,0)+IFERROR(K162*460+L162*-560,0)</f>
        <v>0</v>
      </c>
    </row>
    <row r="163" customFormat="false" ht="15" hidden="false" customHeight="true" outlineLevel="0" collapsed="false">
      <c r="A163" s="9" t="s">
        <v>182</v>
      </c>
      <c r="B163" s="10" t="s">
        <v>19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2" t="n">
        <f aca="false">IFERROR(C163*460+D163*-560,0)+IFERROR(K163*460+L163*-560,0)</f>
        <v>0</v>
      </c>
    </row>
    <row r="164" customFormat="false" ht="15" hidden="false" customHeight="true" outlineLevel="0" collapsed="false">
      <c r="A164" s="9" t="s">
        <v>183</v>
      </c>
      <c r="B164" s="10" t="s">
        <v>21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2" t="n">
        <f aca="false">IFERROR(C164*460+D164*-560,0)+IFERROR(K164*460+L164*-560,0)</f>
        <v>0</v>
      </c>
    </row>
    <row r="165" customFormat="false" ht="15" hidden="false" customHeight="true" outlineLevel="0" collapsed="false">
      <c r="A165" s="9" t="s">
        <v>184</v>
      </c>
      <c r="B165" s="10" t="s">
        <v>23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2" t="n">
        <f aca="false">IFERROR(C165*460+D165*-560,0)+IFERROR(K165*460+L165*-560,0)</f>
        <v>0</v>
      </c>
    </row>
    <row r="166" customFormat="false" ht="21.75" hidden="false" customHeight="true" outlineLevel="0" collapsed="false">
      <c r="A166" s="18" t="s">
        <v>185</v>
      </c>
      <c r="B166" s="19"/>
      <c r="C166" s="20" t="n">
        <f aca="false">SUM(C158:C165)</f>
        <v>0</v>
      </c>
      <c r="D166" s="20" t="n">
        <f aca="false">SUM(D158:D165)</f>
        <v>0</v>
      </c>
      <c r="E166" s="20" t="n">
        <f aca="false">SUM(E158:E165)</f>
        <v>0</v>
      </c>
      <c r="F166" s="20" t="n">
        <f aca="false">SUM(F158:F165)</f>
        <v>0</v>
      </c>
      <c r="G166" s="20" t="n">
        <f aca="false">SUM(G158:G165)</f>
        <v>0</v>
      </c>
      <c r="H166" s="20" t="n">
        <f aca="false">SUM(H158:H165)</f>
        <v>0</v>
      </c>
      <c r="I166" s="20" t="n">
        <f aca="false">SUM(I158:I165)</f>
        <v>0</v>
      </c>
      <c r="J166" s="19"/>
      <c r="K166" s="20" t="n">
        <f aca="false">SUM(K158:K165)</f>
        <v>0</v>
      </c>
      <c r="L166" s="20" t="n">
        <f aca="false">SUM(L158:L165)</f>
        <v>0</v>
      </c>
      <c r="M166" s="20" t="n">
        <f aca="false">SUM(M158:M165)</f>
        <v>0</v>
      </c>
      <c r="N166" s="20" t="n">
        <f aca="false">SUM(N158:N165)</f>
        <v>0</v>
      </c>
      <c r="O166" s="20" t="n">
        <f aca="false">SUM(O158:O165)</f>
        <v>0</v>
      </c>
      <c r="P166" s="20" t="n">
        <f aca="false">SUM(P158:P165)</f>
        <v>0</v>
      </c>
      <c r="Q166" s="20" t="n">
        <f aca="false">SUM(Q158:Q165)</f>
        <v>0</v>
      </c>
      <c r="R166" s="19"/>
      <c r="S166" s="21" t="n">
        <f aca="false">SUM(S158:S165)</f>
        <v>0</v>
      </c>
    </row>
    <row r="167" customFormat="false" ht="15" hidden="false" customHeight="true" outlineLevel="0" collapsed="false">
      <c r="A167" s="26" t="s">
        <v>186</v>
      </c>
      <c r="B167" s="27"/>
      <c r="C167" s="28" t="n">
        <f aca="false">C26+C50+C78+C104+C130+C157+C166</f>
        <v>56</v>
      </c>
      <c r="D167" s="28" t="n">
        <f aca="false">D26+D50+D78+D104+D130+D157+D166</f>
        <v>58</v>
      </c>
      <c r="E167" s="28" t="n">
        <f aca="false">E26+E50+E78+E104+E130+E157+E166</f>
        <v>33</v>
      </c>
      <c r="F167" s="28" t="n">
        <f aca="false">F26+F50+F78+F104+F130+F157+F166</f>
        <v>27</v>
      </c>
      <c r="G167" s="28" t="n">
        <f aca="false">G26+G50+G78+G104+G130+G157+G166</f>
        <v>22</v>
      </c>
      <c r="H167" s="28" t="n">
        <f aca="false">H26+H50+H78+H104+H130+H157+H166</f>
        <v>29</v>
      </c>
      <c r="I167" s="1" t="n">
        <f aca="false">I26+I50+I78+I104+I130+I157+I166</f>
        <v>42</v>
      </c>
      <c r="K167" s="28" t="n">
        <f aca="false">K26+K50+K78+K104+K130+K157+K166</f>
        <v>51</v>
      </c>
      <c r="L167" s="28" t="n">
        <f aca="false">L26+L50+L78+L104+L130+L157+L166</f>
        <v>44</v>
      </c>
      <c r="M167" s="28" t="n">
        <f aca="false">M26+M50+M78+M104+M130+M157+M166</f>
        <v>24</v>
      </c>
      <c r="N167" s="28" t="n">
        <f aca="false">N26+N50+N78+N104+N130+N157+N166</f>
        <v>27</v>
      </c>
      <c r="O167" s="28" t="n">
        <f aca="false">O26+O50+O78+O104+O130+O157+O166</f>
        <v>24</v>
      </c>
      <c r="P167" s="28" t="n">
        <f aca="false">P26+P50+P78+P104+P130+P157+P166</f>
        <v>13</v>
      </c>
      <c r="Q167" s="28" t="n">
        <f aca="false">Q26+Q50+Q78+Q104+Q130+Q157+Q166</f>
        <v>27</v>
      </c>
      <c r="S167" s="29" t="n">
        <f aca="false">S26+S50+S78+S104+S130+S157+S166</f>
        <v>-7900</v>
      </c>
    </row>
  </sheetData>
  <mergeCells count="7">
    <mergeCell ref="A1:S1"/>
    <mergeCell ref="A2:B2"/>
    <mergeCell ref="C2:J2"/>
    <mergeCell ref="K2:R2"/>
    <mergeCell ref="S2:S3"/>
    <mergeCell ref="A4:S4"/>
    <mergeCell ref="A160:B1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</cols>
  <sheetData>
    <row r="1" customFormat="false" ht="31.5" hidden="false" customHeight="true" outlineLevel="0" collapsed="false">
      <c r="A1" s="2" t="s">
        <v>187</v>
      </c>
      <c r="B1" s="2"/>
      <c r="C1" s="2"/>
      <c r="D1" s="2"/>
    </row>
    <row r="2" customFormat="false" ht="24" hidden="false" customHeight="true" outlineLevel="0" collapsed="false">
      <c r="A2" s="30" t="s">
        <v>188</v>
      </c>
      <c r="B2" s="31" t="s">
        <v>189</v>
      </c>
      <c r="C2" s="32" t="s">
        <v>190</v>
      </c>
      <c r="D2" s="6" t="s">
        <v>191</v>
      </c>
    </row>
    <row r="3" customFormat="false" ht="19.5" hidden="false" customHeight="true" outlineLevel="0" collapsed="false">
      <c r="A3" s="33" t="s">
        <v>192</v>
      </c>
      <c r="B3" s="33"/>
      <c r="C3" s="33"/>
      <c r="D3" s="33"/>
    </row>
    <row r="4" customFormat="false" ht="21.75" hidden="false" customHeight="true" outlineLevel="0" collapsed="false">
      <c r="A4" s="34" t="s">
        <v>193</v>
      </c>
      <c r="B4" s="11" t="n">
        <f aca="false">SUM('Trade Log'!C5:C159)+SUM('Trade Log'!D5:D159)</f>
        <v>228</v>
      </c>
      <c r="C4" s="11" t="n">
        <f aca="false">SUM('Trade Log'!K5:K159)+SUM('Trade Log'!L5:L159)</f>
        <v>190</v>
      </c>
      <c r="D4" s="35" t="n">
        <f aca="false">B4+C4</f>
        <v>418</v>
      </c>
    </row>
    <row r="5" customFormat="false" ht="21.75" hidden="false" customHeight="true" outlineLevel="0" collapsed="false">
      <c r="A5" s="34" t="s">
        <v>194</v>
      </c>
      <c r="B5" s="11" t="n">
        <f aca="false">SUM('Trade Log'!C5:C159)</f>
        <v>112</v>
      </c>
      <c r="C5" s="11" t="n">
        <f aca="false">SUM('Trade Log'!K5:K159)</f>
        <v>102</v>
      </c>
      <c r="D5" s="35" t="n">
        <f aca="false">B5+C5</f>
        <v>214</v>
      </c>
    </row>
    <row r="6" customFormat="false" ht="21.75" hidden="false" customHeight="true" outlineLevel="0" collapsed="false">
      <c r="A6" s="34" t="s">
        <v>195</v>
      </c>
      <c r="B6" s="11" t="n">
        <f aca="false">SUM('Trade Log'!D5:D159)</f>
        <v>116</v>
      </c>
      <c r="C6" s="11" t="n">
        <f aca="false">SUM('Trade Log'!L5:L159)</f>
        <v>88</v>
      </c>
      <c r="D6" s="35" t="n">
        <f aca="false">B6+C6</f>
        <v>204</v>
      </c>
    </row>
    <row r="7" customFormat="false" ht="21.75" hidden="false" customHeight="true" outlineLevel="0" collapsed="false">
      <c r="A7" s="34" t="s">
        <v>196</v>
      </c>
      <c r="B7" s="36" t="n">
        <f aca="false">IFERROR(B5/B4,0)</f>
        <v>0.491228070175439</v>
      </c>
      <c r="C7" s="36" t="n">
        <f aca="false">IFERROR(C5/C4,0)</f>
        <v>0.536842105263158</v>
      </c>
      <c r="D7" s="37" t="n">
        <f aca="false">IFERROR(D5/D4,0)</f>
        <v>0.511961722488038</v>
      </c>
    </row>
    <row r="8" customFormat="false" ht="21.75" hidden="false" customHeight="true" outlineLevel="0" collapsed="false">
      <c r="A8" s="34" t="s">
        <v>197</v>
      </c>
      <c r="B8" s="12" t="n">
        <f aca="false">SUM('Trade Log'!C5:C159)*460+SUM('Trade Log'!D5:D159)*-560</f>
        <v>-13440</v>
      </c>
      <c r="C8" s="12" t="n">
        <f aca="false">SUM('Trade Log'!K5:K159)*460+SUM('Trade Log'!L5:L159)*-560</f>
        <v>-2360</v>
      </c>
      <c r="D8" s="38" t="n">
        <f aca="false">SUM('Trade Log'!S5:S159)</f>
        <v>-15800</v>
      </c>
    </row>
    <row r="9" customFormat="false" ht="21.75" hidden="false" customHeight="true" outlineLevel="0" collapsed="false">
      <c r="A9" s="34" t="s">
        <v>198</v>
      </c>
      <c r="B9" s="11" t="n">
        <f aca="false">IFERROR((B5*460)/(B6*560),0)</f>
        <v>0.793103448275862</v>
      </c>
      <c r="C9" s="11" t="n">
        <f aca="false">IFERROR((C5*460)/(C6*560),0)</f>
        <v>0.95211038961039</v>
      </c>
      <c r="D9" s="35" t="n">
        <f aca="false">IFERROR((D5*460)/(D6*560),0)</f>
        <v>0.861694677871149</v>
      </c>
    </row>
    <row r="10" customFormat="false" ht="21.75" hidden="false" customHeight="true" outlineLevel="0" collapsed="false">
      <c r="A10" s="34" t="s">
        <v>199</v>
      </c>
      <c r="B10" s="12" t="n">
        <f aca="false">IFERROR(B8/B4,0)</f>
        <v>-58.9473684210526</v>
      </c>
      <c r="C10" s="12" t="n">
        <f aca="false">IFERROR(C8/C4,0)</f>
        <v>-12.4210526315789</v>
      </c>
      <c r="D10" s="38" t="n">
        <f aca="false">IFERROR(D8/D4,0)</f>
        <v>-37.799043062201</v>
      </c>
    </row>
    <row r="11" customFormat="false" ht="19.5" hidden="false" customHeight="true" outlineLevel="0" collapsed="false">
      <c r="A11" s="33" t="s">
        <v>200</v>
      </c>
      <c r="B11" s="33"/>
      <c r="C11" s="33"/>
      <c r="D11" s="33"/>
    </row>
    <row r="12" customFormat="false" ht="21.75" hidden="false" customHeight="true" outlineLevel="0" collapsed="false">
      <c r="A12" s="34" t="s">
        <v>201</v>
      </c>
      <c r="B12" s="11" t="n">
        <f aca="false">SUM('Trade Log'!E5:E159)</f>
        <v>66</v>
      </c>
      <c r="C12" s="11" t="n">
        <f aca="false">SUM('Trade Log'!M5:M159)</f>
        <v>48</v>
      </c>
      <c r="D12" s="35" t="n">
        <f aca="false">B12+C12</f>
        <v>114</v>
      </c>
    </row>
    <row r="13" customFormat="false" ht="21.75" hidden="false" customHeight="true" outlineLevel="0" collapsed="false">
      <c r="A13" s="34" t="s">
        <v>202</v>
      </c>
      <c r="B13" s="11" t="n">
        <f aca="false">SUM('Trade Log'!F5:F159)</f>
        <v>54</v>
      </c>
      <c r="C13" s="11" t="n">
        <f aca="false">SUM('Trade Log'!N5:N159)</f>
        <v>54</v>
      </c>
      <c r="D13" s="35" t="n">
        <f aca="false">B13+C13</f>
        <v>108</v>
      </c>
    </row>
    <row r="14" customFormat="false" ht="21.75" hidden="false" customHeight="true" outlineLevel="0" collapsed="false">
      <c r="A14" s="34" t="s">
        <v>203</v>
      </c>
      <c r="B14" s="36" t="n">
        <f aca="false">IFERROR(B12/(B12+B13),0)</f>
        <v>0.55</v>
      </c>
      <c r="C14" s="36" t="n">
        <f aca="false">IFERROR(C12/(C12+C13),0)</f>
        <v>0.470588235294118</v>
      </c>
      <c r="D14" s="37" t="n">
        <f aca="false">IFERROR(D12/(D12+D13),0)</f>
        <v>0.513513513513514</v>
      </c>
    </row>
    <row r="15" customFormat="false" ht="19.5" hidden="false" customHeight="true" outlineLevel="0" collapsed="false">
      <c r="A15" s="33" t="s">
        <v>204</v>
      </c>
      <c r="B15" s="33"/>
      <c r="C15" s="33"/>
      <c r="D15" s="33"/>
    </row>
    <row r="16" customFormat="false" ht="21.75" hidden="false" customHeight="true" outlineLevel="0" collapsed="false">
      <c r="A16" s="34" t="s">
        <v>205</v>
      </c>
      <c r="B16" s="11" t="n">
        <f aca="false">SUM('Trade Log'!G5:G159)</f>
        <v>44</v>
      </c>
      <c r="C16" s="11" t="n">
        <f aca="false">SUM('Trade Log'!O5:O159)</f>
        <v>48</v>
      </c>
      <c r="D16" s="35" t="n">
        <f aca="false">B16+C16</f>
        <v>92</v>
      </c>
    </row>
    <row r="17" customFormat="false" ht="21.75" hidden="false" customHeight="true" outlineLevel="0" collapsed="false">
      <c r="A17" s="34" t="s">
        <v>206</v>
      </c>
      <c r="B17" s="11" t="n">
        <f aca="false">SUM('Trade Log'!H5:H159)</f>
        <v>58</v>
      </c>
      <c r="C17" s="11" t="n">
        <f aca="false">SUM('Trade Log'!P5:P159)</f>
        <v>26</v>
      </c>
      <c r="D17" s="35" t="n">
        <f aca="false">B17+C17</f>
        <v>84</v>
      </c>
    </row>
    <row r="18" customFormat="false" ht="21.75" hidden="false" customHeight="true" outlineLevel="0" collapsed="false">
      <c r="A18" s="34" t="s">
        <v>207</v>
      </c>
      <c r="B18" s="36" t="n">
        <f aca="false">IFERROR(B16/(B16+B17),0)</f>
        <v>0.431372549019608</v>
      </c>
      <c r="C18" s="36" t="n">
        <f aca="false">IFERROR(C16/(C16+C17),0)</f>
        <v>0.648648648648649</v>
      </c>
      <c r="D18" s="37" t="n">
        <f aca="false">IFERROR(D16/(D16+D17),0)</f>
        <v>0.522727272727273</v>
      </c>
    </row>
    <row r="19" customFormat="false" ht="19.5" hidden="false" customHeight="true" outlineLevel="0" collapsed="false">
      <c r="A19" s="33" t="s">
        <v>208</v>
      </c>
      <c r="B19" s="33"/>
      <c r="C19" s="33"/>
      <c r="D19" s="33"/>
    </row>
    <row r="20" customFormat="false" ht="21.75" hidden="false" customHeight="true" outlineLevel="0" collapsed="false">
      <c r="A20" s="34" t="s">
        <v>209</v>
      </c>
      <c r="B20" s="11" t="n">
        <f aca="false">SUM('Trade Log'!I5:I159)</f>
        <v>84</v>
      </c>
      <c r="C20" s="11" t="n">
        <f aca="false">SUM('Trade Log'!Q5:Q159)</f>
        <v>54</v>
      </c>
      <c r="D20" s="35" t="n">
        <f aca="false">B20+C20</f>
        <v>138</v>
      </c>
    </row>
  </sheetData>
  <mergeCells count="5">
    <mergeCell ref="A1:D1"/>
    <mergeCell ref="A3:D3"/>
    <mergeCell ref="A11:D11"/>
    <mergeCell ref="A15:D15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2026-07-11T06:45:19Z</dcterms:created>
  <dc:creator>openpyxl</dc:creator>
  <dc:description/>
  <dc:language>en-US</dc:language>
  <cp:lastModifiedBy/>
  <dcterms:modified xsi:type="dcterms:W3CDTF">2026-07-15T13:46:01Z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